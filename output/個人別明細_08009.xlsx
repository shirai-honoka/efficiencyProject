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630" windowWidth="29040" windowHeight="15720" tabRatio="600" firstSheet="0" activeTab="0" autoFilterDateGrouping="1"/>
  </bookViews>
  <sheets>
    <sheet name="202310" sheetId="1" state="visible" r:id="rId1"/>
    <sheet name="202310_記入要領" sheetId="2" state="visible" r:id="rId2"/>
    <sheet name="202111_記入要領" sheetId="3" state="hidden" r:id="rId3"/>
    <sheet name="マスタ" sheetId="4" state="visible" r:id="rId4"/>
  </sheets>
  <definedNames>
    <definedName name="_xlnm.Print_Area" localSheetId="0">'202310'!$A$1:$T$63</definedName>
    <definedName name="_xlnm.Print_Area" localSheetId="1">'202310_記入要領'!$A$1:$T$63</definedName>
    <definedName name="_xlnm.Print_Area" localSheetId="2">'202111_記入要領'!$A$1:$T$40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0_ "/>
    <numFmt numFmtId="165" formatCode="&quot;【&quot;yyyy&quot;年&quot;m&quot;月度】&quot;;@"/>
    <numFmt numFmtId="166" formatCode="m"/>
    <numFmt numFmtId="167" formatCode="d"/>
    <numFmt numFmtId="168" formatCode="aaa"/>
    <numFmt numFmtId="169" formatCode="h:mm;@"/>
    <numFmt numFmtId="170" formatCode="00&quot;:&quot;00"/>
    <numFmt numFmtId="171" formatCode="[Red][&gt;19]#,##0.00;[Black][&gt;0.1]#,##0.00;"/>
    <numFmt numFmtId="172" formatCode="[Black][&gt;160]#,##0.00;[Red][&gt;1]#,##0.00;"/>
    <numFmt numFmtId="173" formatCode="yyyy&quot;年&quot;m&quot;月&quot;d&quot;日 )&quot;"/>
    <numFmt numFmtId="174" formatCode="[h]:mm"/>
    <numFmt numFmtId="175" formatCode="0.00_);[Red]\(0.00\)"/>
    <numFmt numFmtId="176" formatCode="&quot;（ &quot;yyyy&quot;年&quot;m&quot;月&quot;d&quot;日 ～ &quot;"/>
    <numFmt numFmtId="177" formatCode="0_);[Red]\(0\)"/>
    <numFmt numFmtId="178" formatCode="yyyy&quot;年&quot;mm&quot;月度　実績時間報告書　個人別明細&quot;"/>
  </numFmts>
  <fonts count="4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Meiryo UI"/>
      <charset val="128"/>
      <family val="2"/>
      <sz val="6"/>
    </font>
    <font>
      <name val="ＭＳ Ｐゴシック"/>
      <charset val="128"/>
      <family val="3"/>
      <sz val="20"/>
      <u val="single"/>
    </font>
    <font>
      <name val="ＭＳ Ｐゴシック"/>
      <charset val="128"/>
      <family val="3"/>
      <sz val="6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sz val="12"/>
    </font>
    <font>
      <name val="ＭＳ Ｐゴシック"/>
      <charset val="128"/>
      <family val="3"/>
      <color indexed="10"/>
      <sz val="12"/>
    </font>
    <font>
      <name val="ＭＳ 明朝"/>
      <charset val="128"/>
      <family val="1"/>
      <sz val="12"/>
    </font>
    <font>
      <name val="ＭＳ ゴシック"/>
      <charset val="128"/>
      <family val="3"/>
      <sz val="11"/>
    </font>
    <font>
      <name val="ＭＳ 明朝"/>
      <charset val="128"/>
      <family val="1"/>
      <sz val="10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sz val="14"/>
    </font>
    <font>
      <name val="ＭＳ Ｐゴシック"/>
      <charset val="128"/>
      <family val="3"/>
      <color indexed="81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11"/>
      <u val="single"/>
    </font>
    <font>
      <name val="ＭＳ Ｐゴシック"/>
      <charset val="128"/>
      <family val="3"/>
      <sz val="9"/>
    </font>
    <font>
      <name val="ＭＳ Ｐゴシック"/>
      <charset val="128"/>
      <family val="2"/>
      <color rgb="FF000000"/>
      <sz val="9"/>
    </font>
    <font>
      <name val="ＭＳ Ｐ明朝"/>
      <charset val="128"/>
      <family val="1"/>
      <sz val="11"/>
    </font>
    <font>
      <name val="ＭＳ Ｐ明朝"/>
      <charset val="128"/>
      <family val="1"/>
      <b val="1"/>
      <sz val="18"/>
      <u val="single"/>
    </font>
    <font>
      <name val="ＭＳ Ｐ明朝"/>
      <charset val="128"/>
      <family val="1"/>
      <sz val="18"/>
    </font>
    <font>
      <name val="ＭＳ Ｐ明朝"/>
      <charset val="128"/>
      <family val="1"/>
      <color indexed="55"/>
      <sz val="11"/>
    </font>
    <font>
      <name val="ＭＳ Ｐゴシック"/>
      <charset val="128"/>
      <family val="3"/>
      <b val="1"/>
      <color theme="0"/>
      <sz val="14"/>
    </font>
    <font>
      <name val="ＭＳ Ｐゴシック"/>
      <charset val="128"/>
      <family val="3"/>
      <color theme="0"/>
      <sz val="12"/>
    </font>
    <font>
      <name val="ＭＳ Ｐ明朝"/>
      <charset val="128"/>
      <family val="1"/>
      <color theme="1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b val="1"/>
      <sz val="11"/>
    </font>
    <font>
      <name val="ＭＳ Ｐ明朝"/>
      <charset val="128"/>
      <family val="1"/>
      <b val="1"/>
      <color theme="1"/>
      <sz val="11"/>
    </font>
    <font>
      <name val="ＭＳ Ｐ明朝"/>
      <charset val="128"/>
      <family val="1"/>
      <color indexed="10"/>
      <sz val="12"/>
    </font>
    <font>
      <name val="ＭＳ Ｐ明朝"/>
      <charset val="128"/>
      <family val="1"/>
      <b val="1"/>
      <sz val="12"/>
    </font>
    <font>
      <name val="ＭＳ Ｐ明朝"/>
      <charset val="128"/>
      <family val="1"/>
      <sz val="12"/>
    </font>
    <font>
      <name val="ＭＳ Ｐ明朝"/>
      <charset val="128"/>
      <family val="1"/>
      <b val="1"/>
      <sz val="20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b val="1"/>
      <sz val="9"/>
    </font>
    <font>
      <name val="Yu Gothic UI"/>
      <charset val="128"/>
      <family val="3"/>
      <b val="1"/>
      <color rgb="FF000000"/>
      <sz val="10"/>
    </font>
    <font>
      <name val="ＭＳ 明朝"/>
      <charset val="128"/>
      <family val="1"/>
      <b val="1"/>
      <color rgb="FFFF0000"/>
      <sz val="12"/>
    </font>
    <font>
      <name val="ＭＳ Ｐゴシック"/>
      <charset val="128"/>
      <family val="3"/>
      <color rgb="FF000000"/>
      <sz val="11"/>
    </font>
    <font>
      <color rgb="000000FF"/>
    </font>
    <font>
      <color rgb="00FF0000"/>
    </font>
  </fonts>
  <fills count="8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 applyAlignment="1">
      <alignment vertical="center"/>
    </xf>
    <xf numFmtId="0" fontId="1" fillId="0" borderId="0"/>
    <xf numFmtId="0" fontId="1" fillId="0" borderId="0"/>
    <xf numFmtId="0" fontId="9" fillId="0" borderId="0"/>
  </cellStyleXfs>
  <cellXfs count="350">
    <xf numFmtId="0" fontId="0" fillId="0" borderId="0" applyAlignment="1" pivotButton="0" quotePrefix="0" xfId="0">
      <alignment vertical="center"/>
    </xf>
    <xf numFmtId="49" fontId="1" fillId="0" borderId="0" pivotButton="0" quotePrefix="0" xfId="1"/>
    <xf numFmtId="164" fontId="1" fillId="0" borderId="0" pivotButton="0" quotePrefix="0" xfId="1"/>
    <xf numFmtId="0" fontId="1" fillId="0" borderId="0" pivotButton="0" quotePrefix="0" xfId="1"/>
    <xf numFmtId="0" fontId="3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/>
    </xf>
    <xf numFmtId="165" fontId="5" fillId="0" borderId="0" applyAlignment="1" pivotButton="0" quotePrefix="0" xfId="1">
      <alignment vertical="center"/>
    </xf>
    <xf numFmtId="165" fontId="1" fillId="0" borderId="0" pivotButton="0" quotePrefix="0" xfId="1"/>
    <xf numFmtId="0" fontId="0" fillId="0" borderId="0" applyAlignment="1" pivotButton="0" quotePrefix="0" xfId="2">
      <alignment horizontal="right" vertical="center"/>
    </xf>
    <xf numFmtId="38" fontId="6" fillId="0" borderId="0" applyAlignment="1" pivotButton="0" quotePrefix="0" xfId="2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0" fillId="2" borderId="1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0" fillId="2" borderId="7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166" fontId="1" fillId="0" borderId="8" applyAlignment="1" pivotButton="0" quotePrefix="0" xfId="1">
      <alignment horizontal="center" vertical="center"/>
    </xf>
    <xf numFmtId="167" fontId="1" fillId="0" borderId="9" applyAlignment="1" pivotButton="0" quotePrefix="0" xfId="1">
      <alignment horizontal="center" vertical="center"/>
    </xf>
    <xf numFmtId="168" fontId="1" fillId="0" borderId="9" applyAlignment="1" pivotButton="0" quotePrefix="0" xfId="1">
      <alignment horizontal="center" vertical="center"/>
    </xf>
    <xf numFmtId="0" fontId="7" fillId="0" borderId="9" applyAlignment="1" pivotButton="0" quotePrefix="0" xfId="0">
      <alignment horizontal="center" vertical="center"/>
    </xf>
    <xf numFmtId="164" fontId="8" fillId="0" borderId="11" applyAlignment="1" pivotButton="0" quotePrefix="0" xfId="1">
      <alignment horizontal="right" vertical="center"/>
    </xf>
    <xf numFmtId="169" fontId="8" fillId="0" borderId="12" applyAlignment="1" pivotButton="0" quotePrefix="0" xfId="1">
      <alignment horizontal="center" vertical="center"/>
    </xf>
    <xf numFmtId="0" fontId="0" fillId="0" borderId="0" pivotButton="0" quotePrefix="0" xfId="1"/>
    <xf numFmtId="0" fontId="7" fillId="3" borderId="9" applyAlignment="1" pivotButton="0" quotePrefix="0" xfId="0">
      <alignment horizontal="center" vertical="center"/>
    </xf>
    <xf numFmtId="0" fontId="1" fillId="0" borderId="8" applyAlignment="1" pivotButton="0" quotePrefix="0" xfId="1">
      <alignment vertical="center"/>
    </xf>
    <xf numFmtId="167" fontId="1" fillId="3" borderId="9" applyAlignment="1" pivotButton="0" quotePrefix="0" xfId="1">
      <alignment horizontal="center" vertical="center"/>
    </xf>
    <xf numFmtId="168" fontId="11" fillId="3" borderId="9" applyAlignment="1" pivotButton="0" quotePrefix="0" xfId="1">
      <alignment horizontal="center" vertical="center"/>
    </xf>
    <xf numFmtId="168" fontId="1" fillId="3" borderId="9" applyAlignment="1" pivotButton="0" quotePrefix="0" xfId="1">
      <alignment horizontal="center" vertical="center"/>
    </xf>
    <xf numFmtId="170" fontId="6" fillId="0" borderId="9" applyAlignment="1" pivotButton="0" quotePrefix="0" xfId="1">
      <alignment horizontal="center" vertical="center"/>
    </xf>
    <xf numFmtId="0" fontId="1" fillId="0" borderId="17" pivotButton="0" quotePrefix="0" xfId="1"/>
    <xf numFmtId="0" fontId="1" fillId="0" borderId="18" pivotButton="0" quotePrefix="0" xfId="1"/>
    <xf numFmtId="0" fontId="1" fillId="0" borderId="19" pivotButton="0" quotePrefix="0" xfId="1"/>
    <xf numFmtId="0" fontId="1" fillId="0" borderId="20" pivotButton="0" quotePrefix="0" xfId="1"/>
    <xf numFmtId="171" fontId="1" fillId="0" borderId="0" applyAlignment="1" pivotButton="0" quotePrefix="0" xfId="1">
      <alignment horizontal="center" vertical="top"/>
    </xf>
    <xf numFmtId="172" fontId="1" fillId="0" borderId="0" applyAlignment="1" pivotButton="0" quotePrefix="0" xfId="1">
      <alignment horizontal="center" vertical="top"/>
    </xf>
    <xf numFmtId="3" fontId="1" fillId="0" borderId="0" pivotButton="0" quotePrefix="0" xfId="1"/>
    <xf numFmtId="3" fontId="1" fillId="0" borderId="0" applyAlignment="1" pivotButton="0" quotePrefix="0" xfId="1">
      <alignment horizontal="center"/>
    </xf>
    <xf numFmtId="0" fontId="0" fillId="0" borderId="0" applyAlignment="1" pivotButton="0" quotePrefix="0" xfId="2">
      <alignment horizontal="right"/>
    </xf>
    <xf numFmtId="0" fontId="17" fillId="0" borderId="0" applyAlignment="1" pivotButton="0" quotePrefix="0" xfId="1">
      <alignment horizontal="center"/>
    </xf>
    <xf numFmtId="0" fontId="1" fillId="0" borderId="0" applyAlignment="1" pivotButton="0" quotePrefix="0" xfId="1">
      <alignment vertical="center"/>
    </xf>
    <xf numFmtId="0" fontId="0" fillId="5" borderId="1" applyAlignment="1" pivotButton="0" quotePrefix="0" xfId="1">
      <alignment vertical="center"/>
    </xf>
    <xf numFmtId="173" fontId="6" fillId="0" borderId="0" applyAlignment="1" pivotButton="0" quotePrefix="0" xfId="2">
      <alignment vertical="center"/>
    </xf>
    <xf numFmtId="0" fontId="0" fillId="0" borderId="18" pivotButton="0" quotePrefix="0" xfId="1"/>
    <xf numFmtId="169" fontId="15" fillId="0" borderId="4" applyAlignment="1" pivotButton="0" quotePrefix="0" xfId="1">
      <alignment horizontal="center" vertical="center"/>
    </xf>
    <xf numFmtId="0" fontId="0" fillId="0" borderId="0" applyAlignment="1" pivotButton="0" quotePrefix="0" xfId="1">
      <alignment vertical="center"/>
    </xf>
    <xf numFmtId="174" fontId="8" fillId="0" borderId="9" applyAlignment="1" applyProtection="1" pivotButton="0" quotePrefix="0" xfId="1">
      <alignment horizontal="center" vertical="center"/>
      <protection locked="0" hidden="0"/>
    </xf>
    <xf numFmtId="174" fontId="8" fillId="0" borderId="10" applyAlignment="1" applyProtection="1" pivotButton="0" quotePrefix="0" xfId="1">
      <alignment horizontal="center" vertical="center"/>
      <protection locked="0" hidden="0"/>
    </xf>
    <xf numFmtId="0" fontId="0" fillId="0" borderId="0" applyAlignment="1" applyProtection="1" pivotButton="0" quotePrefix="0" xfId="1">
      <alignment horizontal="center" vertical="center"/>
      <protection locked="0" hidden="0"/>
    </xf>
    <xf numFmtId="0" fontId="1" fillId="0" borderId="0" applyAlignment="1" applyProtection="1" pivotButton="0" quotePrefix="0" xfId="1">
      <alignment horizontal="center" vertical="center"/>
      <protection locked="0" hidden="0"/>
    </xf>
    <xf numFmtId="0" fontId="1" fillId="0" borderId="18" applyProtection="1" pivotButton="0" quotePrefix="0" xfId="1">
      <protection locked="0" hidden="0"/>
    </xf>
    <xf numFmtId="49" fontId="1" fillId="0" borderId="18" applyAlignment="1" applyProtection="1" pivotButton="0" quotePrefix="0" xfId="1">
      <alignment horizontal="center" vertical="center"/>
      <protection locked="0" hidden="0"/>
    </xf>
    <xf numFmtId="175" fontId="1" fillId="0" borderId="18" applyAlignment="1" applyProtection="1" pivotButton="0" quotePrefix="0" xfId="1">
      <alignment horizontal="center" vertical="center"/>
      <protection locked="0" hidden="0"/>
    </xf>
    <xf numFmtId="0" fontId="15" fillId="0" borderId="18" applyAlignment="1" applyProtection="1" pivotButton="0" quotePrefix="0" xfId="1">
      <alignment horizontal="center" vertical="center"/>
      <protection locked="0" hidden="0"/>
    </xf>
    <xf numFmtId="0" fontId="1" fillId="0" borderId="24" applyProtection="1" pivotButton="0" quotePrefix="0" xfId="1">
      <protection locked="0" hidden="0"/>
    </xf>
    <xf numFmtId="0" fontId="13" fillId="0" borderId="20" applyAlignment="1" applyProtection="1" pivotButton="0" quotePrefix="0" xfId="1">
      <alignment vertical="top"/>
      <protection locked="0" hidden="0"/>
    </xf>
    <xf numFmtId="0" fontId="1" fillId="0" borderId="20" applyProtection="1" pivotButton="0" quotePrefix="0" xfId="1">
      <protection locked="0" hidden="0"/>
    </xf>
    <xf numFmtId="171" fontId="1" fillId="0" borderId="20" applyAlignment="1" applyProtection="1" pivotButton="0" quotePrefix="0" xfId="1">
      <alignment horizontal="center" vertical="top"/>
      <protection locked="0" hidden="0"/>
    </xf>
    <xf numFmtId="174" fontId="15" fillId="0" borderId="20" applyAlignment="1" applyProtection="1" pivotButton="0" quotePrefix="0" xfId="1">
      <alignment horizontal="center" vertical="top"/>
      <protection locked="0" hidden="0"/>
    </xf>
    <xf numFmtId="172" fontId="1" fillId="0" borderId="20" applyAlignment="1" applyProtection="1" pivotButton="0" quotePrefix="0" xfId="1">
      <alignment horizontal="center" vertical="top"/>
      <protection locked="0" hidden="0"/>
    </xf>
    <xf numFmtId="0" fontId="15" fillId="0" borderId="20" applyAlignment="1" applyProtection="1" pivotButton="0" quotePrefix="0" xfId="1">
      <alignment horizontal="right" vertical="top"/>
      <protection locked="0" hidden="0"/>
    </xf>
    <xf numFmtId="0" fontId="1" fillId="0" borderId="22" applyProtection="1" pivotButton="0" quotePrefix="0" xfId="1">
      <protection locked="0" hidden="0"/>
    </xf>
    <xf numFmtId="0" fontId="0" fillId="0" borderId="8" applyAlignment="1" applyProtection="1" pivotButton="0" quotePrefix="0" xfId="2">
      <alignment horizontal="right" vertical="center"/>
      <protection locked="0" hidden="0"/>
    </xf>
    <xf numFmtId="0" fontId="0" fillId="0" borderId="21" applyAlignment="1" applyProtection="1" pivotButton="0" quotePrefix="0" xfId="2">
      <alignment horizontal="right" vertical="center"/>
      <protection locked="0" hidden="0"/>
    </xf>
    <xf numFmtId="38" fontId="6" fillId="0" borderId="21" applyAlignment="1" applyProtection="1" pivotButton="0" quotePrefix="0" xfId="2">
      <alignment horizontal="center" vertical="center"/>
      <protection locked="0" hidden="0"/>
    </xf>
    <xf numFmtId="4" fontId="10" fillId="0" borderId="12" applyAlignment="1" applyProtection="1" pivotButton="0" quotePrefix="0" xfId="3">
      <alignment horizontal="left" vertical="center" wrapText="1"/>
      <protection locked="0" hidden="0"/>
    </xf>
    <xf numFmtId="4" fontId="12" fillId="0" borderId="16" applyAlignment="1" applyProtection="1" pivotButton="0" quotePrefix="0" xfId="3">
      <alignment horizontal="left" vertical="center" wrapText="1"/>
      <protection locked="0" hidden="0"/>
    </xf>
    <xf numFmtId="0" fontId="1" fillId="2" borderId="9" applyAlignment="1" pivotButton="0" quotePrefix="0" xfId="1">
      <alignment horizontal="center" vertical="center"/>
    </xf>
    <xf numFmtId="20" fontId="0" fillId="0" borderId="9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20" fontId="1" fillId="0" borderId="0" pivotButton="0" quotePrefix="0" xfId="1"/>
    <xf numFmtId="168" fontId="0" fillId="0" borderId="0" applyAlignment="1" pivotButton="0" quotePrefix="0" xfId="0">
      <alignment vertical="center"/>
    </xf>
    <xf numFmtId="0" fontId="18" fillId="0" borderId="0" pivotButton="0" quotePrefix="0" xfId="1"/>
    <xf numFmtId="174" fontId="1" fillId="0" borderId="0" pivotButton="0" quotePrefix="0" xfId="1"/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20" fontId="1" fillId="5" borderId="9" applyAlignment="1" pivotButton="0" quotePrefix="0" xfId="1">
      <alignment horizontal="center" vertical="center"/>
    </xf>
    <xf numFmtId="20" fontId="1" fillId="2" borderId="9" applyAlignment="1" pivotButton="0" quotePrefix="0" xfId="1">
      <alignment horizontal="center" vertical="center"/>
    </xf>
    <xf numFmtId="165" fontId="24" fillId="0" borderId="0" applyAlignment="1" applyProtection="1" pivotButton="0" quotePrefix="0" xfId="1">
      <alignment horizontal="center" vertical="center"/>
      <protection locked="0" hidden="0"/>
    </xf>
    <xf numFmtId="176" fontId="25" fillId="0" borderId="0" applyAlignment="1" pivotButton="0" quotePrefix="0" xfId="2">
      <alignment horizontal="right" vertical="center"/>
    </xf>
    <xf numFmtId="173" fontId="25" fillId="0" borderId="0" applyAlignment="1" pivotButton="0" quotePrefix="0" xfId="2">
      <alignment horizontal="left" vertical="center"/>
    </xf>
    <xf numFmtId="0" fontId="0" fillId="0" borderId="0" applyAlignment="1" pivotButton="0" quotePrefix="1" xfId="1">
      <alignment horizontal="center"/>
    </xf>
    <xf numFmtId="174" fontId="8" fillId="0" borderId="42" applyAlignment="1" pivotButton="0" quotePrefix="0" xfId="1">
      <alignment horizontal="right" vertical="center"/>
    </xf>
    <xf numFmtId="174" fontId="8" fillId="0" borderId="43" applyAlignment="1" pivotButton="0" quotePrefix="0" xfId="1">
      <alignment horizontal="right" vertical="center"/>
    </xf>
    <xf numFmtId="174" fontId="8" fillId="0" borderId="44" applyAlignment="1" pivotButton="0" quotePrefix="0" xfId="1">
      <alignment horizontal="right" vertical="center"/>
    </xf>
    <xf numFmtId="0" fontId="0" fillId="0" borderId="31" applyAlignment="1" pivotButton="0" quotePrefix="0" xfId="1">
      <alignment vertical="center"/>
    </xf>
    <xf numFmtId="0" fontId="0" fillId="0" borderId="27" applyAlignment="1" pivotButton="0" quotePrefix="0" xfId="1">
      <alignment vertical="center"/>
    </xf>
    <xf numFmtId="0" fontId="1" fillId="0" borderId="27" pivotButton="0" quotePrefix="0" xfId="1"/>
    <xf numFmtId="0" fontId="1" fillId="0" borderId="27" applyProtection="1" pivotButton="0" quotePrefix="0" xfId="1">
      <protection locked="0" hidden="0"/>
    </xf>
    <xf numFmtId="49" fontId="1" fillId="0" borderId="27" applyAlignment="1" applyProtection="1" pivotButton="0" quotePrefix="0" xfId="1">
      <alignment horizontal="center" vertical="center"/>
      <protection locked="0" hidden="0"/>
    </xf>
    <xf numFmtId="175" fontId="1" fillId="0" borderId="27" applyAlignment="1" applyProtection="1" pivotButton="0" quotePrefix="0" xfId="1">
      <alignment horizontal="center" vertical="center"/>
      <protection locked="0" hidden="0"/>
    </xf>
    <xf numFmtId="0" fontId="15" fillId="0" borderId="27" applyAlignment="1" applyProtection="1" pivotButton="0" quotePrefix="0" xfId="1">
      <alignment horizontal="center" vertical="center"/>
      <protection locked="0" hidden="0"/>
    </xf>
    <xf numFmtId="0" fontId="1" fillId="0" borderId="32" applyProtection="1" pivotButton="0" quotePrefix="0" xfId="1">
      <protection locked="0" hidden="0"/>
    </xf>
    <xf numFmtId="0" fontId="1" fillId="0" borderId="10" pivotButton="0" quotePrefix="0" xfId="1"/>
    <xf numFmtId="0" fontId="1" fillId="0" borderId="26" pivotButton="0" quotePrefix="0" xfId="1"/>
    <xf numFmtId="0" fontId="13" fillId="0" borderId="26" applyAlignment="1" applyProtection="1" pivotButton="0" quotePrefix="0" xfId="1">
      <alignment vertical="top"/>
      <protection locked="0" hidden="0"/>
    </xf>
    <xf numFmtId="0" fontId="1" fillId="0" borderId="26" applyProtection="1" pivotButton="0" quotePrefix="0" xfId="1">
      <protection locked="0" hidden="0"/>
    </xf>
    <xf numFmtId="171" fontId="1" fillId="0" borderId="26" applyAlignment="1" applyProtection="1" pivotButton="0" quotePrefix="0" xfId="1">
      <alignment horizontal="center" vertical="top"/>
      <protection locked="0" hidden="0"/>
    </xf>
    <xf numFmtId="174" fontId="15" fillId="0" borderId="26" applyAlignment="1" applyProtection="1" pivotButton="0" quotePrefix="0" xfId="1">
      <alignment horizontal="center" vertical="top"/>
      <protection locked="0" hidden="0"/>
    </xf>
    <xf numFmtId="172" fontId="1" fillId="0" borderId="26" applyAlignment="1" applyProtection="1" pivotButton="0" quotePrefix="0" xfId="1">
      <alignment horizontal="center" vertical="top"/>
      <protection locked="0" hidden="0"/>
    </xf>
    <xf numFmtId="0" fontId="15" fillId="0" borderId="26" applyAlignment="1" applyProtection="1" pivotButton="0" quotePrefix="0" xfId="1">
      <alignment horizontal="right" vertical="top"/>
      <protection locked="0" hidden="0"/>
    </xf>
    <xf numFmtId="0" fontId="1" fillId="0" borderId="30" applyProtection="1" pivotButton="0" quotePrefix="0" xfId="1">
      <protection locked="0" hidden="0"/>
    </xf>
    <xf numFmtId="3" fontId="8" fillId="0" borderId="42" applyAlignment="1" applyProtection="1" pivotButton="0" quotePrefix="0" xfId="3">
      <alignment horizontal="center" vertical="center" wrapText="1"/>
      <protection locked="0" hidden="0"/>
    </xf>
    <xf numFmtId="174" fontId="8" fillId="0" borderId="46" applyAlignment="1" applyProtection="1" pivotButton="0" quotePrefix="0" xfId="1">
      <alignment horizontal="right" vertical="center"/>
      <protection locked="0" hidden="0"/>
    </xf>
    <xf numFmtId="174" fontId="8" fillId="0" borderId="47" applyAlignment="1" applyProtection="1" pivotButton="0" quotePrefix="0" xfId="1">
      <alignment horizontal="right" vertical="center"/>
      <protection locked="0" hidden="0"/>
    </xf>
    <xf numFmtId="174" fontId="8" fillId="0" borderId="52" applyAlignment="1" applyProtection="1" pivotButton="0" quotePrefix="0" xfId="1">
      <alignment horizontal="right" vertical="center"/>
      <protection locked="0" hidden="0"/>
    </xf>
    <xf numFmtId="174" fontId="8" fillId="0" borderId="53" applyAlignment="1" applyProtection="1" pivotButton="0" quotePrefix="0" xfId="1">
      <alignment horizontal="right" vertical="center"/>
      <protection locked="0" hidden="0"/>
    </xf>
    <xf numFmtId="174" fontId="8" fillId="0" borderId="49" applyAlignment="1" applyProtection="1" pivotButton="0" quotePrefix="0" xfId="1">
      <alignment horizontal="right" vertical="center"/>
      <protection locked="0" hidden="0"/>
    </xf>
    <xf numFmtId="174" fontId="8" fillId="0" borderId="50" applyAlignment="1" applyProtection="1" pivotButton="0" quotePrefix="0" xfId="1">
      <alignment horizontal="right" vertical="center"/>
      <protection locked="0" hidden="0"/>
    </xf>
    <xf numFmtId="169" fontId="8" fillId="0" borderId="45" applyAlignment="1" pivotButton="0" quotePrefix="0" xfId="1">
      <alignment horizontal="right" vertical="center"/>
    </xf>
    <xf numFmtId="169" fontId="8" fillId="0" borderId="47" applyAlignment="1" pivotButton="0" quotePrefix="0" xfId="1">
      <alignment horizontal="right" vertical="center"/>
    </xf>
    <xf numFmtId="169" fontId="8" fillId="0" borderId="51" applyAlignment="1" pivotButton="0" quotePrefix="0" xfId="1">
      <alignment horizontal="right" vertical="center" wrapText="1"/>
    </xf>
    <xf numFmtId="169" fontId="8" fillId="0" borderId="53" applyAlignment="1" pivotButton="0" quotePrefix="0" xfId="1">
      <alignment horizontal="right" vertical="center"/>
    </xf>
    <xf numFmtId="169" fontId="8" fillId="0" borderId="51" applyAlignment="1" pivotButton="0" quotePrefix="0" xfId="1">
      <alignment horizontal="right" vertical="center"/>
    </xf>
    <xf numFmtId="169" fontId="8" fillId="0" borderId="48" applyAlignment="1" pivotButton="0" quotePrefix="0" xfId="1">
      <alignment horizontal="right" vertical="center"/>
    </xf>
    <xf numFmtId="169" fontId="8" fillId="0" borderId="50" applyAlignment="1" pivotButton="0" quotePrefix="0" xfId="1">
      <alignment horizontal="right" vertical="center"/>
    </xf>
    <xf numFmtId="169" fontId="8" fillId="0" borderId="46" applyAlignment="1" pivotButton="0" quotePrefix="0" xfId="1">
      <alignment horizontal="right" vertical="center"/>
    </xf>
    <xf numFmtId="169" fontId="8" fillId="0" borderId="52" applyAlignment="1" pivotButton="0" quotePrefix="0" xfId="1">
      <alignment horizontal="right" vertical="center"/>
    </xf>
    <xf numFmtId="169" fontId="8" fillId="0" borderId="49" applyAlignment="1" pivotButton="0" quotePrefix="0" xfId="1">
      <alignment horizontal="right" vertical="center"/>
    </xf>
    <xf numFmtId="174" fontId="8" fillId="0" borderId="42" applyAlignment="1" pivotButton="0" quotePrefix="0" xfId="1">
      <alignment horizontal="center" vertical="center"/>
    </xf>
    <xf numFmtId="174" fontId="8" fillId="0" borderId="44" applyAlignment="1" pivotButton="0" quotePrefix="0" xfId="1">
      <alignment horizontal="center" vertical="center"/>
    </xf>
    <xf numFmtId="0" fontId="20" fillId="0" borderId="0" pivotButton="0" quotePrefix="0" xfId="1"/>
    <xf numFmtId="0" fontId="20" fillId="0" borderId="0" applyAlignment="1" pivotButton="0" quotePrefix="0" xfId="1">
      <alignment vertical="center"/>
    </xf>
    <xf numFmtId="0" fontId="20" fillId="0" borderId="0" applyAlignment="1" pivotButton="0" quotePrefix="0" xfId="1">
      <alignment horizontal="center"/>
    </xf>
    <xf numFmtId="166" fontId="20" fillId="0" borderId="45" applyAlignment="1" pivotButton="0" quotePrefix="0" xfId="1">
      <alignment horizontal="center" vertical="center"/>
    </xf>
    <xf numFmtId="167" fontId="20" fillId="0" borderId="46" applyAlignment="1" pivotButton="0" quotePrefix="0" xfId="1">
      <alignment horizontal="center" vertical="center"/>
    </xf>
    <xf numFmtId="168" fontId="20" fillId="0" borderId="46" applyAlignment="1" pivotButton="0" quotePrefix="0" xfId="1">
      <alignment horizontal="center" vertical="center"/>
    </xf>
    <xf numFmtId="0" fontId="30" fillId="0" borderId="46" applyAlignment="1" pivotButton="0" quotePrefix="0" xfId="0">
      <alignment horizontal="center" vertical="center"/>
    </xf>
    <xf numFmtId="166" fontId="20" fillId="0" borderId="51" applyAlignment="1" pivotButton="0" quotePrefix="0" xfId="1">
      <alignment horizontal="center" vertical="center"/>
    </xf>
    <xf numFmtId="167" fontId="20" fillId="0" borderId="52" applyAlignment="1" pivotButton="0" quotePrefix="0" xfId="1">
      <alignment horizontal="center" vertical="center"/>
    </xf>
    <xf numFmtId="168" fontId="20" fillId="0" borderId="52" applyAlignment="1" pivotButton="0" quotePrefix="0" xfId="1">
      <alignment horizontal="center" vertical="center"/>
    </xf>
    <xf numFmtId="0" fontId="30" fillId="0" borderId="52" applyAlignment="1" pivotButton="0" quotePrefix="0" xfId="0">
      <alignment horizontal="center" vertical="center"/>
    </xf>
    <xf numFmtId="0" fontId="20" fillId="0" borderId="51" applyAlignment="1" pivotButton="0" quotePrefix="0" xfId="1">
      <alignment vertical="center"/>
    </xf>
    <xf numFmtId="0" fontId="20" fillId="0" borderId="48" applyAlignment="1" pivotButton="0" quotePrefix="0" xfId="1">
      <alignment vertical="center"/>
    </xf>
    <xf numFmtId="167" fontId="20" fillId="0" borderId="49" applyAlignment="1" pivotButton="0" quotePrefix="0" xfId="1">
      <alignment horizontal="center" vertical="center"/>
    </xf>
    <xf numFmtId="168" fontId="20" fillId="0" borderId="49" applyAlignment="1" pivotButton="0" quotePrefix="0" xfId="1">
      <alignment horizontal="center" vertical="center"/>
    </xf>
    <xf numFmtId="0" fontId="30" fillId="0" borderId="49" applyAlignment="1" pivotButton="0" quotePrefix="0" xfId="0">
      <alignment horizontal="center" vertical="center"/>
    </xf>
    <xf numFmtId="0" fontId="31" fillId="0" borderId="36" pivotButton="0" quotePrefix="0" xfId="0"/>
    <xf numFmtId="0" fontId="32" fillId="0" borderId="36" pivotButton="0" quotePrefix="0" xfId="0"/>
    <xf numFmtId="0" fontId="6" fillId="0" borderId="36" pivotButton="0" quotePrefix="0" xfId="0"/>
    <xf numFmtId="0" fontId="32" fillId="0" borderId="36" applyAlignment="1" pivotButton="0" quotePrefix="0" xfId="0">
      <alignment horizontal="left"/>
    </xf>
    <xf numFmtId="0" fontId="32" fillId="0" borderId="36" applyAlignment="1" pivotButton="0" quotePrefix="0" xfId="0">
      <alignment horizontal="center"/>
    </xf>
    <xf numFmtId="0" fontId="32" fillId="0" borderId="36" applyAlignment="1" pivotButton="0" quotePrefix="0" xfId="0">
      <alignment vertical="center"/>
    </xf>
    <xf numFmtId="0" fontId="31" fillId="0" borderId="37" pivotButton="0" quotePrefix="0" xfId="0"/>
    <xf numFmtId="0" fontId="32" fillId="0" borderId="37" applyAlignment="1" pivotButton="0" quotePrefix="0" xfId="0">
      <alignment horizontal="left"/>
    </xf>
    <xf numFmtId="0" fontId="32" fillId="0" borderId="37" applyAlignment="1" pivotButton="0" quotePrefix="0" xfId="0">
      <alignment vertical="center"/>
    </xf>
    <xf numFmtId="49" fontId="32" fillId="0" borderId="36" applyAlignment="1" pivotButton="0" quotePrefix="0" xfId="0">
      <alignment horizontal="left"/>
    </xf>
    <xf numFmtId="49" fontId="32" fillId="0" borderId="36" pivotButton="0" quotePrefix="0" xfId="0"/>
    <xf numFmtId="0" fontId="28" fillId="6" borderId="42" applyAlignment="1" pivotButton="0" quotePrefix="0" xfId="1">
      <alignment horizontal="center" vertical="center"/>
    </xf>
    <xf numFmtId="0" fontId="28" fillId="6" borderId="43" applyAlignment="1" pivotButton="0" quotePrefix="0" xfId="1">
      <alignment horizontal="center" vertical="center"/>
    </xf>
    <xf numFmtId="0" fontId="28" fillId="6" borderId="43" applyAlignment="1" pivotButton="0" quotePrefix="0" xfId="1">
      <alignment horizontal="center" vertical="center" wrapText="1"/>
    </xf>
    <xf numFmtId="0" fontId="28" fillId="6" borderId="44" applyAlignment="1" pivotButton="0" quotePrefix="0" xfId="1">
      <alignment horizontal="center" vertical="center"/>
    </xf>
    <xf numFmtId="0" fontId="28" fillId="6" borderId="42" applyAlignment="1" pivotButton="0" quotePrefix="0" xfId="1">
      <alignment horizontal="center" vertical="center" wrapText="1"/>
    </xf>
    <xf numFmtId="0" fontId="28" fillId="6" borderId="44" applyAlignment="1" pivotButton="0" quotePrefix="0" xfId="1">
      <alignment horizontal="center" vertical="center" wrapText="1"/>
    </xf>
    <xf numFmtId="0" fontId="6" fillId="6" borderId="31" applyAlignment="1" pivotButton="0" quotePrefix="0" xfId="1">
      <alignment horizontal="center" vertical="center"/>
    </xf>
    <xf numFmtId="0" fontId="6" fillId="6" borderId="27" applyAlignment="1" pivotButton="0" quotePrefix="0" xfId="1">
      <alignment horizontal="center" vertical="center"/>
    </xf>
    <xf numFmtId="174" fontId="8" fillId="6" borderId="27" applyAlignment="1" pivotButton="0" quotePrefix="0" xfId="1">
      <alignment horizontal="right" vertical="center"/>
    </xf>
    <xf numFmtId="174" fontId="8" fillId="6" borderId="32" applyAlignment="1" pivotButton="0" quotePrefix="0" xfId="1">
      <alignment horizontal="right" vertical="center"/>
    </xf>
    <xf numFmtId="0" fontId="6" fillId="6" borderId="25" applyAlignment="1" pivotButton="0" quotePrefix="0" xfId="1">
      <alignment horizontal="center" vertical="center"/>
    </xf>
    <xf numFmtId="0" fontId="6" fillId="6" borderId="0" applyAlignment="1" pivotButton="0" quotePrefix="0" xfId="1">
      <alignment horizontal="center" vertical="center"/>
    </xf>
    <xf numFmtId="177" fontId="8" fillId="6" borderId="0" applyAlignment="1" pivotButton="0" quotePrefix="0" xfId="1">
      <alignment horizontal="right" vertical="center"/>
    </xf>
    <xf numFmtId="177" fontId="8" fillId="6" borderId="29" applyAlignment="1" pivotButton="0" quotePrefix="0" xfId="1">
      <alignment horizontal="right" vertical="center"/>
    </xf>
    <xf numFmtId="4" fontId="28" fillId="6" borderId="48" applyAlignment="1" applyProtection="1" pivotButton="0" quotePrefix="0" xfId="3">
      <alignment horizontal="center" vertical="center" wrapText="1"/>
      <protection locked="0" hidden="0"/>
    </xf>
    <xf numFmtId="174" fontId="37" fillId="7" borderId="53" applyAlignment="1" applyProtection="1" pivotButton="0" quotePrefix="0" xfId="1">
      <alignment horizontal="right" vertical="center"/>
      <protection locked="0" hidden="0"/>
    </xf>
    <xf numFmtId="169" fontId="37" fillId="7" borderId="53" applyAlignment="1" pivotButton="0" quotePrefix="0" xfId="1">
      <alignment horizontal="right" vertical="center"/>
    </xf>
    <xf numFmtId="169" fontId="37" fillId="7" borderId="52" applyAlignment="1" pivotButton="0" quotePrefix="0" xfId="1">
      <alignment horizontal="right" vertical="center"/>
    </xf>
    <xf numFmtId="4" fontId="10" fillId="0" borderId="57" applyAlignment="1" applyProtection="1" pivotButton="0" quotePrefix="0" xfId="3">
      <alignment vertical="center" wrapText="1"/>
      <protection locked="0" hidden="0"/>
    </xf>
    <xf numFmtId="4" fontId="10" fillId="0" borderId="58" applyAlignment="1" applyProtection="1" pivotButton="0" quotePrefix="0" xfId="3">
      <alignment vertical="center" wrapText="1"/>
      <protection locked="0" hidden="0"/>
    </xf>
    <xf numFmtId="4" fontId="10" fillId="0" borderId="59" applyAlignment="1" applyProtection="1" pivotButton="0" quotePrefix="0" xfId="3">
      <alignment vertical="center" wrapText="1"/>
      <protection locked="0" hidden="0"/>
    </xf>
    <xf numFmtId="4" fontId="10" fillId="0" borderId="60" applyAlignment="1" applyProtection="1" pivotButton="0" quotePrefix="0" xfId="3">
      <alignment vertical="center" wrapText="1"/>
      <protection locked="0" hidden="0"/>
    </xf>
    <xf numFmtId="4" fontId="10" fillId="0" borderId="61" applyAlignment="1" applyProtection="1" pivotButton="0" quotePrefix="0" xfId="3">
      <alignment vertical="center" wrapText="1"/>
      <protection locked="0" hidden="0"/>
    </xf>
    <xf numFmtId="4" fontId="10" fillId="0" borderId="62" applyAlignment="1" applyProtection="1" pivotButton="0" quotePrefix="0" xfId="3">
      <alignment vertical="center" wrapText="1"/>
      <protection locked="0" hidden="0"/>
    </xf>
    <xf numFmtId="0" fontId="8" fillId="0" borderId="38" applyAlignment="1" pivotButton="0" quotePrefix="0" xfId="1">
      <alignment horizontal="center" vertical="center"/>
    </xf>
    <xf numFmtId="0" fontId="8" fillId="0" borderId="39" applyAlignment="1" pivotButton="0" quotePrefix="0" xfId="1">
      <alignment horizontal="center" vertical="center"/>
    </xf>
    <xf numFmtId="0" fontId="8" fillId="0" borderId="40" applyAlignment="1" pivotButton="0" quotePrefix="0" xfId="1">
      <alignment horizontal="center" vertical="center"/>
    </xf>
    <xf numFmtId="0" fontId="28" fillId="6" borderId="41" applyAlignment="1" pivotButton="0" quotePrefix="0" xfId="1">
      <alignment horizontal="center" vertical="center"/>
    </xf>
    <xf numFmtId="0" fontId="28" fillId="6" borderId="39" applyAlignment="1" pivotButton="0" quotePrefix="0" xfId="1">
      <alignment horizontal="center" vertical="center"/>
    </xf>
    <xf numFmtId="0" fontId="28" fillId="6" borderId="40" applyAlignment="1" pivotButton="0" quotePrefix="0" xfId="1">
      <alignment horizontal="center" vertical="center"/>
    </xf>
    <xf numFmtId="4" fontId="10" fillId="0" borderId="54" applyAlignment="1" applyProtection="1" pivotButton="0" quotePrefix="0" xfId="3">
      <alignment vertical="center" wrapText="1"/>
      <protection locked="0" hidden="0"/>
    </xf>
    <xf numFmtId="4" fontId="10" fillId="0" borderId="55" applyAlignment="1" applyProtection="1" pivotButton="0" quotePrefix="0" xfId="3">
      <alignment vertical="center" wrapText="1"/>
      <protection locked="0" hidden="0"/>
    </xf>
    <xf numFmtId="4" fontId="10" fillId="0" borderId="56" applyAlignment="1" applyProtection="1" pivotButton="0" quotePrefix="0" xfId="3">
      <alignment vertical="center" wrapText="1"/>
      <protection locked="0" hidden="0"/>
    </xf>
    <xf numFmtId="0" fontId="28" fillId="0" borderId="31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20" fillId="0" borderId="0" applyAlignment="1" applyProtection="1" pivotButton="0" quotePrefix="0" xfId="1">
      <alignment horizontal="left" vertical="center"/>
      <protection locked="0" hidden="0"/>
    </xf>
    <xf numFmtId="178" fontId="33" fillId="0" borderId="0" applyAlignment="1" pivotButton="0" quotePrefix="0" xfId="0">
      <alignment horizontal="center" vertical="center"/>
    </xf>
    <xf numFmtId="174" fontId="8" fillId="0" borderId="43" applyAlignment="1" applyProtection="1" pivotButton="0" quotePrefix="0" xfId="3">
      <alignment horizontal="center" vertical="center" wrapText="1"/>
      <protection locked="0" hidden="0"/>
    </xf>
    <xf numFmtId="174" fontId="8" fillId="0" borderId="44" applyAlignment="1" applyProtection="1" pivotButton="0" quotePrefix="0" xfId="3">
      <alignment horizontal="center" vertical="center" wrapText="1"/>
      <protection locked="0" hidden="0"/>
    </xf>
    <xf numFmtId="0" fontId="20" fillId="0" borderId="0" applyAlignment="1" pivotButton="0" quotePrefix="0" xfId="0">
      <alignment horizontal="center" vertical="center"/>
    </xf>
    <xf numFmtId="4" fontId="28" fillId="6" borderId="45" applyAlignment="1" applyProtection="1" pivotButton="0" quotePrefix="0" xfId="3">
      <alignment horizontal="center" vertical="center" wrapText="1"/>
      <protection locked="0" hidden="0"/>
    </xf>
    <xf numFmtId="4" fontId="28" fillId="6" borderId="46" applyAlignment="1" applyProtection="1" pivotButton="0" quotePrefix="0" xfId="3">
      <alignment horizontal="center" vertical="center" wrapText="1"/>
      <protection locked="0" hidden="0"/>
    </xf>
    <xf numFmtId="4" fontId="28" fillId="6" borderId="47" applyAlignment="1" applyProtection="1" pivotButton="0" quotePrefix="0" xfId="3">
      <alignment horizontal="center" vertical="center" wrapText="1"/>
      <protection locked="0" hidden="0"/>
    </xf>
    <xf numFmtId="4" fontId="28" fillId="6" borderId="49" applyAlignment="1" applyProtection="1" pivotButton="0" quotePrefix="0" xfId="3">
      <alignment horizontal="center" vertical="center" wrapText="1"/>
      <protection locked="0" hidden="0"/>
    </xf>
    <xf numFmtId="4" fontId="28" fillId="6" borderId="50" applyAlignment="1" applyProtection="1" pivotButton="0" quotePrefix="0" xfId="3">
      <alignment horizontal="center" vertical="center" wrapText="1"/>
      <protection locked="0" hidden="0"/>
    </xf>
    <xf numFmtId="0" fontId="29" fillId="6" borderId="28" applyAlignment="1" pivotButton="0" quotePrefix="0" xfId="0">
      <alignment horizontal="center" vertical="center"/>
    </xf>
    <xf numFmtId="0" fontId="29" fillId="6" borderId="14" applyAlignment="1" pivotButton="0" quotePrefix="0" xfId="0">
      <alignment horizontal="center" vertical="center"/>
    </xf>
    <xf numFmtId="0" fontId="29" fillId="6" borderId="15" applyAlignment="1" pivotButton="0" quotePrefix="0" xfId="0">
      <alignment horizontal="center" vertical="center"/>
    </xf>
    <xf numFmtId="4" fontId="34" fillId="6" borderId="9" applyAlignment="1" applyProtection="1" pivotButton="0" quotePrefix="0" xfId="3">
      <alignment horizontal="center" vertical="center" wrapText="1"/>
      <protection locked="0" hidden="0"/>
    </xf>
    <xf numFmtId="174" fontId="8" fillId="0" borderId="9" applyAlignment="1" applyProtection="1" pivotButton="0" quotePrefix="0" xfId="3">
      <alignment horizontal="center" vertical="center" wrapText="1"/>
      <protection locked="0" hidden="0"/>
    </xf>
    <xf numFmtId="4" fontId="10" fillId="0" borderId="13" applyAlignment="1" applyProtection="1" pivotButton="0" quotePrefix="0" xfId="3">
      <alignment horizontal="left" vertical="center" wrapText="1"/>
      <protection locked="0" hidden="0"/>
    </xf>
    <xf numFmtId="4" fontId="10" fillId="0" borderId="14" applyAlignment="1" applyProtection="1" pivotButton="0" quotePrefix="0" xfId="3">
      <alignment horizontal="left" vertical="center" wrapText="1"/>
      <protection locked="0" hidden="0"/>
    </xf>
    <xf numFmtId="4" fontId="10" fillId="0" borderId="15" applyAlignment="1" applyProtection="1" pivotButton="0" quotePrefix="0" xfId="3">
      <alignment horizontal="left" vertical="center" wrapText="1"/>
      <protection locked="0" hidden="0"/>
    </xf>
    <xf numFmtId="0" fontId="0" fillId="2" borderId="5" applyAlignment="1" pivotButton="0" quotePrefix="0" xfId="1">
      <alignment horizontal="center" vertical="center"/>
    </xf>
    <xf numFmtId="0" fontId="1" fillId="2" borderId="6" applyAlignment="1" pivotButton="0" quotePrefix="0" xfId="1">
      <alignment horizontal="center" vertical="center"/>
    </xf>
    <xf numFmtId="0" fontId="1" fillId="2" borderId="23" applyAlignment="1" pivotButton="0" quotePrefix="0" xfId="1">
      <alignment horizontal="center" vertical="center"/>
    </xf>
    <xf numFmtId="0" fontId="15" fillId="4" borderId="0" applyAlignment="1" applyProtection="1" pivotButton="0" quotePrefix="0" xfId="1">
      <alignment horizontal="left"/>
      <protection locked="0" hidden="0"/>
    </xf>
    <xf numFmtId="165" fontId="16" fillId="0" borderId="0" applyAlignment="1" applyProtection="1" pivotButton="0" quotePrefix="0" xfId="1">
      <alignment horizontal="center" vertical="center"/>
      <protection locked="0" hidden="0"/>
    </xf>
    <xf numFmtId="0" fontId="0" fillId="5" borderId="5" applyAlignment="1" pivotButton="0" quotePrefix="0" xfId="2">
      <alignment horizontal="center" vertical="center"/>
    </xf>
    <xf numFmtId="0" fontId="0" fillId="5" borderId="4" applyAlignment="1" pivotButton="0" quotePrefix="0" xfId="2">
      <alignment horizontal="center" vertical="center"/>
    </xf>
    <xf numFmtId="176" fontId="6" fillId="0" borderId="0" applyAlignment="1" pivotButton="0" quotePrefix="0" xfId="2">
      <alignment horizontal="right" vertical="center"/>
    </xf>
    <xf numFmtId="173" fontId="6" fillId="0" borderId="0" applyAlignment="1" pivotButton="0" quotePrefix="0" xfId="2">
      <alignment horizontal="center" vertical="center"/>
    </xf>
    <xf numFmtId="0" fontId="0" fillId="0" borderId="0" applyAlignment="1" applyProtection="1" pivotButton="0" quotePrefix="0" xfId="1">
      <alignment horizontal="left" vertical="center"/>
      <protection locked="0" hidden="0"/>
    </xf>
    <xf numFmtId="0" fontId="1" fillId="0" borderId="0" applyAlignment="1" applyProtection="1" pivotButton="0" quotePrefix="0" xfId="1">
      <alignment horizontal="left" vertical="center"/>
      <protection locked="0" hidden="0"/>
    </xf>
    <xf numFmtId="0" fontId="0" fillId="0" borderId="19" applyAlignment="1" applyProtection="1" pivotButton="0" quotePrefix="0" xfId="2">
      <alignment horizontal="center" vertical="center"/>
      <protection locked="0" hidden="0"/>
    </xf>
    <xf numFmtId="0" fontId="0" fillId="0" borderId="22" applyAlignment="1" applyProtection="1" pivotButton="0" quotePrefix="0" xfId="2">
      <alignment horizontal="center" vertical="center"/>
      <protection locked="0" hidden="0"/>
    </xf>
    <xf numFmtId="0" fontId="1" fillId="2" borderId="9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5" borderId="34" applyAlignment="1" pivotButton="0" quotePrefix="0" xfId="0">
      <alignment horizontal="center" vertical="center"/>
    </xf>
    <xf numFmtId="0" fontId="0" fillId="5" borderId="33" applyAlignment="1" pivotButton="0" quotePrefix="0" xfId="0">
      <alignment horizontal="center" vertical="center"/>
    </xf>
    <xf numFmtId="0" fontId="0" fillId="5" borderId="35" applyAlignment="1" pivotButton="0" quotePrefix="0" xfId="0">
      <alignment horizontal="center" vertical="center"/>
    </xf>
    <xf numFmtId="178" fontId="33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4" fillId="0" borderId="0" applyAlignment="1" applyProtection="1" pivotButton="0" quotePrefix="0" xfId="1">
      <alignment horizontal="center" vertical="center"/>
      <protection locked="0" hidden="0"/>
    </xf>
    <xf numFmtId="176" fontId="25" fillId="0" borderId="0" applyAlignment="1" pivotButton="0" quotePrefix="0" xfId="2">
      <alignment horizontal="right" vertical="center"/>
    </xf>
    <xf numFmtId="173" fontId="25" fillId="0" borderId="0" applyAlignment="1" pivotButton="0" quotePrefix="0" xfId="2">
      <alignment horizontal="left" vertical="center"/>
    </xf>
    <xf numFmtId="173" fontId="6" fillId="0" borderId="0" applyAlignment="1" pivotButton="0" quotePrefix="0" xfId="2">
      <alignment vertical="center"/>
    </xf>
    <xf numFmtId="174" fontId="1" fillId="0" borderId="0" pivotButton="0" quotePrefix="0" xfId="1"/>
    <xf numFmtId="0" fontId="0" fillId="0" borderId="0" applyProtection="1" pivotButton="0" quotePrefix="0" xfId="0">
      <protection locked="0" hidden="0"/>
    </xf>
    <xf numFmtId="165" fontId="5" fillId="0" borderId="0" applyAlignment="1" pivotButton="0" quotePrefix="0" xfId="1">
      <alignment vertical="center"/>
    </xf>
    <xf numFmtId="165" fontId="1" fillId="0" borderId="0" pivotButton="0" quotePrefix="0" xfId="1"/>
    <xf numFmtId="0" fontId="0" fillId="0" borderId="14" pivotButton="0" quotePrefix="0" xfId="0"/>
    <xf numFmtId="0" fontId="0" fillId="0" borderId="41" pivotButton="0" quotePrefix="0" xfId="0"/>
    <xf numFmtId="166" fontId="20" fillId="0" borderId="45" applyAlignment="1" pivotButton="0" quotePrefix="0" xfId="1">
      <alignment horizontal="center" vertical="center"/>
    </xf>
    <xf numFmtId="167" fontId="20" fillId="0" borderId="46" applyAlignment="1" pivotButton="0" quotePrefix="0" xfId="1">
      <alignment horizontal="center" vertical="center"/>
    </xf>
    <xf numFmtId="168" fontId="20" fillId="0" borderId="46" applyAlignment="1" pivotButton="0" quotePrefix="0" xfId="1">
      <alignment horizontal="center" vertical="center"/>
    </xf>
    <xf numFmtId="0" fontId="39" fillId="0" borderId="46" applyAlignment="1" pivotButton="0" quotePrefix="0" xfId="0">
      <alignment horizontal="center" vertical="center"/>
    </xf>
    <xf numFmtId="174" fontId="8" fillId="0" borderId="46" applyAlignment="1" applyProtection="1" pivotButton="0" quotePrefix="0" xfId="1">
      <alignment horizontal="right" vertical="center"/>
      <protection locked="0" hidden="0"/>
    </xf>
    <xf numFmtId="174" fontId="8" fillId="0" borderId="47" applyAlignment="1" applyProtection="1" pivotButton="0" quotePrefix="0" xfId="1">
      <alignment horizontal="right" vertical="center"/>
      <protection locked="0" hidden="0"/>
    </xf>
    <xf numFmtId="169" fontId="8" fillId="0" borderId="45" applyAlignment="1" pivotButton="0" quotePrefix="0" xfId="1">
      <alignment horizontal="right" vertical="center"/>
    </xf>
    <xf numFmtId="169" fontId="8" fillId="0" borderId="47" applyAlignment="1" pivotButton="0" quotePrefix="0" xfId="1">
      <alignment horizontal="right" vertical="center"/>
    </xf>
    <xf numFmtId="169" fontId="8" fillId="0" borderId="46" applyAlignment="1" pivotButton="0" quotePrefix="0" xfId="1">
      <alignment horizontal="right" vertical="center"/>
    </xf>
    <xf numFmtId="0" fontId="0" fillId="0" borderId="64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0" fontId="40" fillId="0" borderId="0" pivotButton="0" quotePrefix="0" xfId="0"/>
    <xf numFmtId="166" fontId="20" fillId="0" borderId="51" applyAlignment="1" pivotButton="0" quotePrefix="0" xfId="1">
      <alignment horizontal="center" vertical="center"/>
    </xf>
    <xf numFmtId="167" fontId="20" fillId="0" borderId="52" applyAlignment="1" pivotButton="0" quotePrefix="0" xfId="1">
      <alignment horizontal="center" vertical="center"/>
    </xf>
    <xf numFmtId="168" fontId="20" fillId="0" borderId="52" applyAlignment="1" pivotButton="0" quotePrefix="0" xfId="1">
      <alignment horizontal="center" vertical="center"/>
    </xf>
    <xf numFmtId="0" fontId="39" fillId="0" borderId="52" applyAlignment="1" pivotButton="0" quotePrefix="0" xfId="0">
      <alignment horizontal="center" vertical="center"/>
    </xf>
    <xf numFmtId="174" fontId="8" fillId="0" borderId="52" applyAlignment="1" applyProtection="1" pivotButton="0" quotePrefix="0" xfId="1">
      <alignment horizontal="right" vertical="center"/>
      <protection locked="0" hidden="0"/>
    </xf>
    <xf numFmtId="174" fontId="8" fillId="0" borderId="53" applyAlignment="1" applyProtection="1" pivotButton="0" quotePrefix="0" xfId="1">
      <alignment horizontal="right" vertical="center"/>
      <protection locked="0" hidden="0"/>
    </xf>
    <xf numFmtId="169" fontId="8" fillId="0" borderId="51" applyAlignment="1" pivotButton="0" quotePrefix="0" xfId="1">
      <alignment horizontal="right" vertical="center" wrapText="1"/>
    </xf>
    <xf numFmtId="169" fontId="8" fillId="0" borderId="53" applyAlignment="1" pivotButton="0" quotePrefix="0" xfId="1">
      <alignment horizontal="right" vertical="center"/>
    </xf>
    <xf numFmtId="169" fontId="8" fillId="0" borderId="51" applyAlignment="1" pivotButton="0" quotePrefix="0" xfId="1">
      <alignment horizontal="right" vertical="center"/>
    </xf>
    <xf numFmtId="169" fontId="8" fillId="0" borderId="52" applyAlignment="1" pivotButton="0" quotePrefix="0" xfId="1">
      <alignment horizontal="right" vertical="center"/>
    </xf>
    <xf numFmtId="0" fontId="0" fillId="0" borderId="37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0" fontId="40" fillId="0" borderId="0" pivotButton="0" quotePrefix="0" xfId="1"/>
    <xf numFmtId="167" fontId="20" fillId="0" borderId="49" applyAlignment="1" pivotButton="0" quotePrefix="0" xfId="1">
      <alignment horizontal="center" vertical="center"/>
    </xf>
    <xf numFmtId="168" fontId="20" fillId="0" borderId="49" applyAlignment="1" pivotButton="0" quotePrefix="0" xfId="1">
      <alignment horizontal="center" vertical="center"/>
    </xf>
    <xf numFmtId="0" fontId="39" fillId="0" borderId="49" applyAlignment="1" pivotButton="0" quotePrefix="0" xfId="0">
      <alignment horizontal="center" vertical="center"/>
    </xf>
    <xf numFmtId="169" fontId="8" fillId="0" borderId="48" applyAlignment="1" pivotButton="0" quotePrefix="0" xfId="1">
      <alignment horizontal="right" vertical="center"/>
    </xf>
    <xf numFmtId="169" fontId="8" fillId="0" borderId="50" applyAlignment="1" pivotButton="0" quotePrefix="0" xfId="1">
      <alignment horizontal="right" vertical="center"/>
    </xf>
    <xf numFmtId="169" fontId="8" fillId="0" borderId="49" applyAlignment="1" pivotButton="0" quotePrefix="0" xfId="1">
      <alignment horizontal="right" vertical="center"/>
    </xf>
    <xf numFmtId="0" fontId="0" fillId="0" borderId="74" applyProtection="1" pivotButton="0" quotePrefix="0" xfId="0">
      <protection locked="0" hidden="0"/>
    </xf>
    <xf numFmtId="0" fontId="0" fillId="0" borderId="75" applyProtection="1" pivotButton="0" quotePrefix="0" xfId="0">
      <protection locked="0" hidden="0"/>
    </xf>
    <xf numFmtId="174" fontId="8" fillId="0" borderId="42" applyAlignment="1" pivotButton="0" quotePrefix="0" xfId="1">
      <alignment horizontal="center" vertical="center"/>
    </xf>
    <xf numFmtId="174" fontId="8" fillId="0" borderId="44" applyAlignment="1" pivotButton="0" quotePrefix="0" xfId="1">
      <alignment horizontal="center" vertical="center"/>
    </xf>
    <xf numFmtId="174" fontId="8" fillId="0" borderId="42" applyAlignment="1" pivotButton="0" quotePrefix="0" xfId="1">
      <alignment horizontal="right" vertical="center"/>
    </xf>
    <xf numFmtId="174" fontId="8" fillId="0" borderId="43" applyAlignment="1" pivotButton="0" quotePrefix="0" xfId="1">
      <alignment horizontal="right" vertical="center"/>
    </xf>
    <xf numFmtId="174" fontId="8" fillId="0" borderId="44" applyAlignment="1" pivotButton="0" quotePrefix="0" xfId="1">
      <alignment horizontal="right" vertical="center"/>
    </xf>
    <xf numFmtId="0" fontId="0" fillId="0" borderId="32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174" fontId="8" fillId="6" borderId="27" applyAlignment="1" pivotButton="0" quotePrefix="0" xfId="1">
      <alignment horizontal="right" vertical="center"/>
    </xf>
    <xf numFmtId="174" fontId="8" fillId="6" borderId="32" applyAlignment="1" pivotButton="0" quotePrefix="0" xfId="1">
      <alignment horizontal="right" vertical="center"/>
    </xf>
    <xf numFmtId="0" fontId="0" fillId="0" borderId="10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177" fontId="8" fillId="6" borderId="0" applyAlignment="1" pivotButton="0" quotePrefix="0" xfId="1">
      <alignment horizontal="right" vertical="center"/>
    </xf>
    <xf numFmtId="177" fontId="8" fillId="6" borderId="29" applyAlignment="1" pivotButton="0" quotePrefix="0" xfId="1">
      <alignment horizontal="right" vertical="center"/>
    </xf>
    <xf numFmtId="174" fontId="8" fillId="0" borderId="9" applyAlignment="1" applyProtection="1" pivotButton="0" quotePrefix="0" xfId="3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174" fontId="8" fillId="0" borderId="43" applyAlignment="1" applyProtection="1" pivotButton="0" quotePrefix="0" xfId="3">
      <alignment horizontal="center" vertical="center" wrapText="1"/>
      <protection locked="0" hidden="0"/>
    </xf>
    <xf numFmtId="0" fontId="0" fillId="0" borderId="69" applyProtection="1" pivotButton="0" quotePrefix="0" xfId="0">
      <protection locked="0" hidden="0"/>
    </xf>
    <xf numFmtId="175" fontId="1" fillId="0" borderId="27" applyAlignment="1" applyProtection="1" pivotButton="0" quotePrefix="0" xfId="1">
      <alignment horizontal="center" vertical="center"/>
      <protection locked="0" hidden="0"/>
    </xf>
    <xf numFmtId="171" fontId="1" fillId="0" borderId="26" applyAlignment="1" applyProtection="1" pivotButton="0" quotePrefix="0" xfId="1">
      <alignment horizontal="center" vertical="top"/>
      <protection locked="0" hidden="0"/>
    </xf>
    <xf numFmtId="174" fontId="15" fillId="0" borderId="26" applyAlignment="1" applyProtection="1" pivotButton="0" quotePrefix="0" xfId="1">
      <alignment horizontal="center" vertical="top"/>
      <protection locked="0" hidden="0"/>
    </xf>
    <xf numFmtId="172" fontId="1" fillId="0" borderId="26" applyAlignment="1" applyProtection="1" pivotButton="0" quotePrefix="0" xfId="1">
      <alignment horizontal="center" vertical="top"/>
      <protection locked="0" hidden="0"/>
    </xf>
    <xf numFmtId="0" fontId="29" fillId="6" borderId="9" applyAlignment="1" pivotButton="0" quotePrefix="0" xfId="0">
      <alignment horizontal="center" vertical="center"/>
    </xf>
    <xf numFmtId="0" fontId="0" fillId="0" borderId="15" pivotButton="0" quotePrefix="0" xfId="0"/>
    <xf numFmtId="0" fontId="28" fillId="0" borderId="9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2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26" pivotButton="0" quotePrefix="0" xfId="0"/>
    <xf numFmtId="0" fontId="0" fillId="0" borderId="30" pivotButton="0" quotePrefix="0" xfId="0"/>
    <xf numFmtId="174" fontId="37" fillId="7" borderId="53" applyAlignment="1" applyProtection="1" pivotButton="0" quotePrefix="0" xfId="1">
      <alignment horizontal="right" vertical="center"/>
      <protection locked="0" hidden="0"/>
    </xf>
    <xf numFmtId="169" fontId="37" fillId="7" borderId="53" applyAlignment="1" pivotButton="0" quotePrefix="0" xfId="1">
      <alignment horizontal="right" vertical="center"/>
    </xf>
    <xf numFmtId="169" fontId="37" fillId="7" borderId="52" applyAlignment="1" pivotButton="0" quotePrefix="0" xfId="1">
      <alignment horizontal="right" vertical="center"/>
    </xf>
    <xf numFmtId="174" fontId="8" fillId="0" borderId="49" applyAlignment="1" applyProtection="1" pivotButton="0" quotePrefix="0" xfId="1">
      <alignment horizontal="right" vertical="center"/>
      <protection locked="0" hidden="0"/>
    </xf>
    <xf numFmtId="174" fontId="8" fillId="0" borderId="50" applyAlignment="1" applyProtection="1" pivotButton="0" quotePrefix="0" xfId="1">
      <alignment horizontal="right" vertical="center"/>
      <protection locked="0" hidden="0"/>
    </xf>
    <xf numFmtId="164" fontId="1" fillId="0" borderId="0" pivotButton="0" quotePrefix="0" xfId="1"/>
    <xf numFmtId="165" fontId="16" fillId="0" borderId="0" applyAlignment="1" applyProtection="1" pivotButton="0" quotePrefix="0" xfId="1">
      <alignment horizontal="center" vertical="center"/>
      <protection locked="0" hidden="0"/>
    </xf>
    <xf numFmtId="0" fontId="0" fillId="5" borderId="77" applyAlignment="1" pivotButton="0" quotePrefix="0" xfId="2">
      <alignment horizontal="center" vertical="center"/>
    </xf>
    <xf numFmtId="0" fontId="0" fillId="0" borderId="4" pivotButton="0" quotePrefix="0" xfId="0"/>
    <xf numFmtId="176" fontId="6" fillId="0" borderId="0" applyAlignment="1" pivotButton="0" quotePrefix="0" xfId="2">
      <alignment horizontal="right" vertical="center"/>
    </xf>
    <xf numFmtId="173" fontId="6" fillId="0" borderId="0" applyAlignment="1" pivotButton="0" quotePrefix="0" xfId="2">
      <alignment horizontal="center" vertical="center"/>
    </xf>
    <xf numFmtId="169" fontId="15" fillId="0" borderId="4" applyAlignment="1" pivotButton="0" quotePrefix="0" xfId="1">
      <alignment horizontal="center" vertical="center"/>
    </xf>
    <xf numFmtId="0" fontId="0" fillId="0" borderId="78" applyAlignment="1" applyProtection="1" pivotButton="0" quotePrefix="0" xfId="2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6" pivotButton="0" quotePrefix="0" xfId="0"/>
    <xf numFmtId="0" fontId="0" fillId="0" borderId="23" pivotButton="0" quotePrefix="0" xfId="0"/>
    <xf numFmtId="166" fontId="1" fillId="0" borderId="8" applyAlignment="1" pivotButton="0" quotePrefix="0" xfId="1">
      <alignment horizontal="center" vertical="center"/>
    </xf>
    <xf numFmtId="167" fontId="1" fillId="0" borderId="9" applyAlignment="1" pivotButton="0" quotePrefix="0" xfId="1">
      <alignment horizontal="center" vertical="center"/>
    </xf>
    <xf numFmtId="168" fontId="1" fillId="0" borderId="9" applyAlignment="1" pivotButton="0" quotePrefix="0" xfId="1">
      <alignment horizontal="center" vertical="center"/>
    </xf>
    <xf numFmtId="174" fontId="8" fillId="0" borderId="9" applyAlignment="1" applyProtection="1" pivotButton="0" quotePrefix="0" xfId="1">
      <alignment horizontal="center" vertical="center"/>
      <protection locked="0" hidden="0"/>
    </xf>
    <xf numFmtId="174" fontId="8" fillId="0" borderId="10" applyAlignment="1" applyProtection="1" pivotButton="0" quotePrefix="0" xfId="1">
      <alignment horizontal="center" vertical="center"/>
      <protection locked="0" hidden="0"/>
    </xf>
    <xf numFmtId="164" fontId="8" fillId="0" borderId="11" applyAlignment="1" pivotButton="0" quotePrefix="0" xfId="1">
      <alignment horizontal="right" vertical="center"/>
    </xf>
    <xf numFmtId="169" fontId="8" fillId="0" borderId="12" applyAlignment="1" pivotButton="0" quotePrefix="0" xfId="1">
      <alignment horizontal="center" vertical="center"/>
    </xf>
    <xf numFmtId="4" fontId="10" fillId="0" borderId="11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167" fontId="1" fillId="3" borderId="9" applyAlignment="1" pivotButton="0" quotePrefix="0" xfId="1">
      <alignment horizontal="center" vertical="center"/>
    </xf>
    <xf numFmtId="168" fontId="11" fillId="3" borderId="9" applyAlignment="1" pivotButton="0" quotePrefix="0" xfId="1">
      <alignment horizontal="center" vertical="center"/>
    </xf>
    <xf numFmtId="168" fontId="1" fillId="3" borderId="9" applyAlignment="1" pivotButton="0" quotePrefix="0" xfId="1">
      <alignment horizontal="center" vertical="center"/>
    </xf>
    <xf numFmtId="170" fontId="6" fillId="0" borderId="9" applyAlignment="1" pivotButton="0" quotePrefix="0" xfId="1">
      <alignment horizontal="center" vertical="center"/>
    </xf>
    <xf numFmtId="175" fontId="1" fillId="0" borderId="18" applyAlignment="1" applyProtection="1" pivotButton="0" quotePrefix="0" xfId="1">
      <alignment horizontal="center" vertical="center"/>
      <protection locked="0" hidden="0"/>
    </xf>
    <xf numFmtId="171" fontId="1" fillId="0" borderId="20" applyAlignment="1" applyProtection="1" pivotButton="0" quotePrefix="0" xfId="1">
      <alignment horizontal="center" vertical="top"/>
      <protection locked="0" hidden="0"/>
    </xf>
    <xf numFmtId="174" fontId="15" fillId="0" borderId="20" applyAlignment="1" applyProtection="1" pivotButton="0" quotePrefix="0" xfId="1">
      <alignment horizontal="center" vertical="top"/>
      <protection locked="0" hidden="0"/>
    </xf>
    <xf numFmtId="172" fontId="1" fillId="0" borderId="20" applyAlignment="1" applyProtection="1" pivotButton="0" quotePrefix="0" xfId="1">
      <alignment horizontal="center" vertical="top"/>
      <protection locked="0" hidden="0"/>
    </xf>
    <xf numFmtId="171" fontId="1" fillId="0" borderId="0" applyAlignment="1" pivotButton="0" quotePrefix="0" xfId="1">
      <alignment horizontal="center" vertical="top"/>
    </xf>
    <xf numFmtId="172" fontId="1" fillId="0" borderId="0" applyAlignment="1" pivotButton="0" quotePrefix="0" xfId="1">
      <alignment horizontal="center" vertical="top"/>
    </xf>
    <xf numFmtId="0" fontId="0" fillId="0" borderId="35" pivotButton="0" quotePrefix="0" xfId="0"/>
    <xf numFmtId="168" fontId="0" fillId="0" borderId="0" applyAlignment="1" pivotButton="0" quotePrefix="0" xfId="0">
      <alignment vertical="center"/>
    </xf>
    <xf numFmtId="0" fontId="0" fillId="5" borderId="9" applyAlignment="1" pivotButton="0" quotePrefix="0" xfId="0">
      <alignment horizontal="center" vertical="center"/>
    </xf>
    <xf numFmtId="0" fontId="0" fillId="0" borderId="33" pivotButton="0" quotePrefix="0" xfId="0"/>
  </cellXfs>
  <cellStyles count="4">
    <cellStyle name="標準" xfId="0" builtinId="0"/>
    <cellStyle name="標準_200309月報_時間集計 CS本部_コピー時間集計 CS本部 ゼクシス用" xfId="1"/>
    <cellStyle name="標準_萩尾請求書_時間集計 CS本部_コピー時間集計 CS本部 ゼクシス用" xfId="2"/>
    <cellStyle name="標準_９６年　７月" xfId="3"/>
  </cellStyles>
  <dxfs count="17">
    <dxf>
      <font>
        <condense val="0"/>
        <color indexed="12"/>
        <extend val="0"/>
      </font>
    </dxf>
    <dxf>
      <font>
        <condense val="0"/>
        <color indexed="10"/>
        <extend val="0"/>
      </font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condense val="0"/>
        <color indexed="12"/>
        <extend val="0"/>
      </font>
    </dxf>
    <dxf>
      <font>
        <condense val="0"/>
        <color indexed="10"/>
        <extend val="0"/>
      </font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condense val="0"/>
        <color indexed="12"/>
        <extend val="0"/>
      </font>
    </dxf>
    <dxf>
      <font>
        <condense val="0"/>
        <color indexed="10"/>
        <extend val="0"/>
      </font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大江 隆彦</author>
    <author>山田 雄志</author>
  </authors>
  <commentList>
    <comment ref="A4" authorId="0" shapeId="0">
      <text>
        <t>報告月の月初の日付を入力して下さい。
　例）2023/10/1</t>
      </text>
    </comment>
    <comment ref="U16" authorId="1" shapeId="0">
      <text>
        <t>休日扱いとするには、
「祝日」、または「休み」
と入力して下さい。</t>
      </text>
    </comment>
  </commentList>
</comments>
</file>

<file path=xl/comments/comment2.xml><?xml version="1.0" encoding="utf-8"?>
<comments xmlns="http://schemas.openxmlformats.org/spreadsheetml/2006/main">
  <authors>
    <author>大江 隆彦</author>
    <author>山田 雄志</author>
  </authors>
  <commentList>
    <comment ref="A4" authorId="0" shapeId="0">
      <text>
        <t>報告月の月初の日付を入力して下さい。
　例）2023/10/1</t>
      </text>
    </comment>
    <comment ref="U16" authorId="1" shapeId="0">
      <text>
        <t>休日扱いとするには、
「祝日」、または「休み」
と入力して下さい。</t>
      </text>
    </comment>
  </commentList>
</comments>
</file>

<file path=xl/comments/comment3.xml><?xml version="1.0" encoding="utf-8"?>
<comments xmlns="http://schemas.openxmlformats.org/spreadsheetml/2006/main">
  <authors>
    <author>山田 雄志</author>
  </authors>
  <commentList>
    <comment ref="Q7" authorId="0" shapeId="0">
      <text>
        <t>祝日、代休、休み
と入力すれば、休日指定になる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 fitToPage="1"/>
  </sheetPr>
  <dimension ref="A1:AB68"/>
  <sheetViews>
    <sheetView tabSelected="1" topLeftCell="A23" zoomScaleNormal="100" zoomScaleSheetLayoutView="100" workbookViewId="0">
      <selection activeCell="M45" sqref="M45:T45"/>
    </sheetView>
  </sheetViews>
  <sheetFormatPr baseColWidth="8" defaultColWidth="8.77734375" defaultRowHeight="13.2"/>
  <cols>
    <col width="4.33203125" customWidth="1" style="3" min="1" max="1"/>
    <col width="4" customWidth="1" style="3" min="2" max="2"/>
    <col width="4.109375" customWidth="1" style="3" min="3" max="3"/>
    <col width="6.109375" customWidth="1" style="3" min="4" max="4"/>
    <col width="7.33203125" customWidth="1" style="3" min="5" max="6"/>
    <col width="7.44140625" customWidth="1" style="3" min="7" max="7"/>
    <col width="7.44140625" customWidth="1" style="5" min="8" max="12"/>
    <col width="9" customWidth="1" style="5" min="13" max="13"/>
    <col width="7.109375" customWidth="1" style="3" min="14" max="20"/>
    <col width="5.109375" bestFit="1" customWidth="1" style="3" min="21" max="21"/>
    <col width="9.109375" bestFit="1" customWidth="1" style="3" min="22" max="26"/>
    <col width="8.77734375" customWidth="1" style="3" min="27" max="259"/>
    <col width="4.33203125" customWidth="1" style="3" min="260" max="260"/>
    <col width="4" customWidth="1" style="3" min="261" max="261"/>
    <col width="4.109375" customWidth="1" style="3" min="262" max="262"/>
    <col width="8" customWidth="1" style="3" min="263" max="263"/>
    <col width="8.109375" customWidth="1" style="3" min="264" max="265"/>
    <col width="9.109375" customWidth="1" style="3" min="266" max="266"/>
    <col width="8.77734375" customWidth="1" style="3" min="267" max="267"/>
    <col width="6.44140625" customWidth="1" style="3" min="268" max="268"/>
    <col width="26.109375" customWidth="1" style="3" min="269" max="269"/>
    <col width="7.109375" customWidth="1" style="3" min="270" max="270"/>
    <col width="11.109375" customWidth="1" style="3" min="271" max="271"/>
    <col width="5.109375" bestFit="1" customWidth="1" style="3" min="272" max="272"/>
    <col width="8.77734375" customWidth="1" style="3" min="273" max="276"/>
    <col width="7.44140625" bestFit="1" customWidth="1" style="3" min="277" max="277"/>
    <col width="9.109375" bestFit="1" customWidth="1" style="3" min="278" max="282"/>
    <col width="8.77734375" customWidth="1" style="3" min="283" max="515"/>
    <col width="4.33203125" customWidth="1" style="3" min="516" max="516"/>
    <col width="4" customWidth="1" style="3" min="517" max="517"/>
    <col width="4.109375" customWidth="1" style="3" min="518" max="518"/>
    <col width="8" customWidth="1" style="3" min="519" max="519"/>
    <col width="8.109375" customWidth="1" style="3" min="520" max="521"/>
    <col width="9.109375" customWidth="1" style="3" min="522" max="522"/>
    <col width="8.77734375" customWidth="1" style="3" min="523" max="523"/>
    <col width="6.44140625" customWidth="1" style="3" min="524" max="524"/>
    <col width="26.109375" customWidth="1" style="3" min="525" max="525"/>
    <col width="7.109375" customWidth="1" style="3" min="526" max="526"/>
    <col width="11.109375" customWidth="1" style="3" min="527" max="527"/>
    <col width="5.109375" bestFit="1" customWidth="1" style="3" min="528" max="528"/>
    <col width="8.77734375" customWidth="1" style="3" min="529" max="532"/>
    <col width="7.44140625" bestFit="1" customWidth="1" style="3" min="533" max="533"/>
    <col width="9.109375" bestFit="1" customWidth="1" style="3" min="534" max="538"/>
    <col width="8.77734375" customWidth="1" style="3" min="539" max="771"/>
    <col width="4.33203125" customWidth="1" style="3" min="772" max="772"/>
    <col width="4" customWidth="1" style="3" min="773" max="773"/>
    <col width="4.109375" customWidth="1" style="3" min="774" max="774"/>
    <col width="8" customWidth="1" style="3" min="775" max="775"/>
    <col width="8.109375" customWidth="1" style="3" min="776" max="777"/>
    <col width="9.109375" customWidth="1" style="3" min="778" max="778"/>
    <col width="8.77734375" customWidth="1" style="3" min="779" max="779"/>
    <col width="6.44140625" customWidth="1" style="3" min="780" max="780"/>
    <col width="26.109375" customWidth="1" style="3" min="781" max="781"/>
    <col width="7.109375" customWidth="1" style="3" min="782" max="782"/>
    <col width="11.109375" customWidth="1" style="3" min="783" max="783"/>
    <col width="5.109375" bestFit="1" customWidth="1" style="3" min="784" max="784"/>
    <col width="8.77734375" customWidth="1" style="3" min="785" max="788"/>
    <col width="7.44140625" bestFit="1" customWidth="1" style="3" min="789" max="789"/>
    <col width="9.109375" bestFit="1" customWidth="1" style="3" min="790" max="794"/>
    <col width="8.77734375" customWidth="1" style="3" min="795" max="1027"/>
    <col width="4.33203125" customWidth="1" style="3" min="1028" max="1028"/>
    <col width="4" customWidth="1" style="3" min="1029" max="1029"/>
    <col width="4.109375" customWidth="1" style="3" min="1030" max="1030"/>
    <col width="8" customWidth="1" style="3" min="1031" max="1031"/>
    <col width="8.109375" customWidth="1" style="3" min="1032" max="1033"/>
    <col width="9.109375" customWidth="1" style="3" min="1034" max="1034"/>
    <col width="8.77734375" customWidth="1" style="3" min="1035" max="1035"/>
    <col width="6.44140625" customWidth="1" style="3" min="1036" max="1036"/>
    <col width="26.109375" customWidth="1" style="3" min="1037" max="1037"/>
    <col width="7.109375" customWidth="1" style="3" min="1038" max="1038"/>
    <col width="11.109375" customWidth="1" style="3" min="1039" max="1039"/>
    <col width="5.109375" bestFit="1" customWidth="1" style="3" min="1040" max="1040"/>
    <col width="8.77734375" customWidth="1" style="3" min="1041" max="1044"/>
    <col width="7.44140625" bestFit="1" customWidth="1" style="3" min="1045" max="1045"/>
    <col width="9.109375" bestFit="1" customWidth="1" style="3" min="1046" max="1050"/>
    <col width="8.77734375" customWidth="1" style="3" min="1051" max="1283"/>
    <col width="4.33203125" customWidth="1" style="3" min="1284" max="1284"/>
    <col width="4" customWidth="1" style="3" min="1285" max="1285"/>
    <col width="4.109375" customWidth="1" style="3" min="1286" max="1286"/>
    <col width="8" customWidth="1" style="3" min="1287" max="1287"/>
    <col width="8.109375" customWidth="1" style="3" min="1288" max="1289"/>
    <col width="9.109375" customWidth="1" style="3" min="1290" max="1290"/>
    <col width="8.77734375" customWidth="1" style="3" min="1291" max="1291"/>
    <col width="6.44140625" customWidth="1" style="3" min="1292" max="1292"/>
    <col width="26.109375" customWidth="1" style="3" min="1293" max="1293"/>
    <col width="7.109375" customWidth="1" style="3" min="1294" max="1294"/>
    <col width="11.109375" customWidth="1" style="3" min="1295" max="1295"/>
    <col width="5.109375" bestFit="1" customWidth="1" style="3" min="1296" max="1296"/>
    <col width="8.77734375" customWidth="1" style="3" min="1297" max="1300"/>
    <col width="7.44140625" bestFit="1" customWidth="1" style="3" min="1301" max="1301"/>
    <col width="9.109375" bestFit="1" customWidth="1" style="3" min="1302" max="1306"/>
    <col width="8.77734375" customWidth="1" style="3" min="1307" max="1539"/>
    <col width="4.33203125" customWidth="1" style="3" min="1540" max="1540"/>
    <col width="4" customWidth="1" style="3" min="1541" max="1541"/>
    <col width="4.109375" customWidth="1" style="3" min="1542" max="1542"/>
    <col width="8" customWidth="1" style="3" min="1543" max="1543"/>
    <col width="8.109375" customWidth="1" style="3" min="1544" max="1545"/>
    <col width="9.109375" customWidth="1" style="3" min="1546" max="1546"/>
    <col width="8.77734375" customWidth="1" style="3" min="1547" max="1547"/>
    <col width="6.44140625" customWidth="1" style="3" min="1548" max="1548"/>
    <col width="26.109375" customWidth="1" style="3" min="1549" max="1549"/>
    <col width="7.109375" customWidth="1" style="3" min="1550" max="1550"/>
    <col width="11.109375" customWidth="1" style="3" min="1551" max="1551"/>
    <col width="5.109375" bestFit="1" customWidth="1" style="3" min="1552" max="1552"/>
    <col width="8.77734375" customWidth="1" style="3" min="1553" max="1556"/>
    <col width="7.44140625" bestFit="1" customWidth="1" style="3" min="1557" max="1557"/>
    <col width="9.109375" bestFit="1" customWidth="1" style="3" min="1558" max="1562"/>
    <col width="8.77734375" customWidth="1" style="3" min="1563" max="1795"/>
    <col width="4.33203125" customWidth="1" style="3" min="1796" max="1796"/>
    <col width="4" customWidth="1" style="3" min="1797" max="1797"/>
    <col width="4.109375" customWidth="1" style="3" min="1798" max="1798"/>
    <col width="8" customWidth="1" style="3" min="1799" max="1799"/>
    <col width="8.109375" customWidth="1" style="3" min="1800" max="1801"/>
    <col width="9.109375" customWidth="1" style="3" min="1802" max="1802"/>
    <col width="8.77734375" customWidth="1" style="3" min="1803" max="1803"/>
    <col width="6.44140625" customWidth="1" style="3" min="1804" max="1804"/>
    <col width="26.109375" customWidth="1" style="3" min="1805" max="1805"/>
    <col width="7.109375" customWidth="1" style="3" min="1806" max="1806"/>
    <col width="11.109375" customWidth="1" style="3" min="1807" max="1807"/>
    <col width="5.109375" bestFit="1" customWidth="1" style="3" min="1808" max="1808"/>
    <col width="8.77734375" customWidth="1" style="3" min="1809" max="1812"/>
    <col width="7.44140625" bestFit="1" customWidth="1" style="3" min="1813" max="1813"/>
    <col width="9.109375" bestFit="1" customWidth="1" style="3" min="1814" max="1818"/>
    <col width="8.77734375" customWidth="1" style="3" min="1819" max="2051"/>
    <col width="4.33203125" customWidth="1" style="3" min="2052" max="2052"/>
    <col width="4" customWidth="1" style="3" min="2053" max="2053"/>
    <col width="4.109375" customWidth="1" style="3" min="2054" max="2054"/>
    <col width="8" customWidth="1" style="3" min="2055" max="2055"/>
    <col width="8.109375" customWidth="1" style="3" min="2056" max="2057"/>
    <col width="9.109375" customWidth="1" style="3" min="2058" max="2058"/>
    <col width="8.77734375" customWidth="1" style="3" min="2059" max="2059"/>
    <col width="6.44140625" customWidth="1" style="3" min="2060" max="2060"/>
    <col width="26.109375" customWidth="1" style="3" min="2061" max="2061"/>
    <col width="7.109375" customWidth="1" style="3" min="2062" max="2062"/>
    <col width="11.109375" customWidth="1" style="3" min="2063" max="2063"/>
    <col width="5.109375" bestFit="1" customWidth="1" style="3" min="2064" max="2064"/>
    <col width="8.77734375" customWidth="1" style="3" min="2065" max="2068"/>
    <col width="7.44140625" bestFit="1" customWidth="1" style="3" min="2069" max="2069"/>
    <col width="9.109375" bestFit="1" customWidth="1" style="3" min="2070" max="2074"/>
    <col width="8.77734375" customWidth="1" style="3" min="2075" max="2307"/>
    <col width="4.33203125" customWidth="1" style="3" min="2308" max="2308"/>
    <col width="4" customWidth="1" style="3" min="2309" max="2309"/>
    <col width="4.109375" customWidth="1" style="3" min="2310" max="2310"/>
    <col width="8" customWidth="1" style="3" min="2311" max="2311"/>
    <col width="8.109375" customWidth="1" style="3" min="2312" max="2313"/>
    <col width="9.109375" customWidth="1" style="3" min="2314" max="2314"/>
    <col width="8.77734375" customWidth="1" style="3" min="2315" max="2315"/>
    <col width="6.44140625" customWidth="1" style="3" min="2316" max="2316"/>
    <col width="26.109375" customWidth="1" style="3" min="2317" max="2317"/>
    <col width="7.109375" customWidth="1" style="3" min="2318" max="2318"/>
    <col width="11.109375" customWidth="1" style="3" min="2319" max="2319"/>
    <col width="5.109375" bestFit="1" customWidth="1" style="3" min="2320" max="2320"/>
    <col width="8.77734375" customWidth="1" style="3" min="2321" max="2324"/>
    <col width="7.44140625" bestFit="1" customWidth="1" style="3" min="2325" max="2325"/>
    <col width="9.109375" bestFit="1" customWidth="1" style="3" min="2326" max="2330"/>
    <col width="8.77734375" customWidth="1" style="3" min="2331" max="2563"/>
    <col width="4.33203125" customWidth="1" style="3" min="2564" max="2564"/>
    <col width="4" customWidth="1" style="3" min="2565" max="2565"/>
    <col width="4.109375" customWidth="1" style="3" min="2566" max="2566"/>
    <col width="8" customWidth="1" style="3" min="2567" max="2567"/>
    <col width="8.109375" customWidth="1" style="3" min="2568" max="2569"/>
    <col width="9.109375" customWidth="1" style="3" min="2570" max="2570"/>
    <col width="8.77734375" customWidth="1" style="3" min="2571" max="2571"/>
    <col width="6.44140625" customWidth="1" style="3" min="2572" max="2572"/>
    <col width="26.109375" customWidth="1" style="3" min="2573" max="2573"/>
    <col width="7.109375" customWidth="1" style="3" min="2574" max="2574"/>
    <col width="11.109375" customWidth="1" style="3" min="2575" max="2575"/>
    <col width="5.109375" bestFit="1" customWidth="1" style="3" min="2576" max="2576"/>
    <col width="8.77734375" customWidth="1" style="3" min="2577" max="2580"/>
    <col width="7.44140625" bestFit="1" customWidth="1" style="3" min="2581" max="2581"/>
    <col width="9.109375" bestFit="1" customWidth="1" style="3" min="2582" max="2586"/>
    <col width="8.77734375" customWidth="1" style="3" min="2587" max="2819"/>
    <col width="4.33203125" customWidth="1" style="3" min="2820" max="2820"/>
    <col width="4" customWidth="1" style="3" min="2821" max="2821"/>
    <col width="4.109375" customWidth="1" style="3" min="2822" max="2822"/>
    <col width="8" customWidth="1" style="3" min="2823" max="2823"/>
    <col width="8.109375" customWidth="1" style="3" min="2824" max="2825"/>
    <col width="9.109375" customWidth="1" style="3" min="2826" max="2826"/>
    <col width="8.77734375" customWidth="1" style="3" min="2827" max="2827"/>
    <col width="6.44140625" customWidth="1" style="3" min="2828" max="2828"/>
    <col width="26.109375" customWidth="1" style="3" min="2829" max="2829"/>
    <col width="7.109375" customWidth="1" style="3" min="2830" max="2830"/>
    <col width="11.109375" customWidth="1" style="3" min="2831" max="2831"/>
    <col width="5.109375" bestFit="1" customWidth="1" style="3" min="2832" max="2832"/>
    <col width="8.77734375" customWidth="1" style="3" min="2833" max="2836"/>
    <col width="7.44140625" bestFit="1" customWidth="1" style="3" min="2837" max="2837"/>
    <col width="9.109375" bestFit="1" customWidth="1" style="3" min="2838" max="2842"/>
    <col width="8.77734375" customWidth="1" style="3" min="2843" max="3075"/>
    <col width="4.33203125" customWidth="1" style="3" min="3076" max="3076"/>
    <col width="4" customWidth="1" style="3" min="3077" max="3077"/>
    <col width="4.109375" customWidth="1" style="3" min="3078" max="3078"/>
    <col width="8" customWidth="1" style="3" min="3079" max="3079"/>
    <col width="8.109375" customWidth="1" style="3" min="3080" max="3081"/>
    <col width="9.109375" customWidth="1" style="3" min="3082" max="3082"/>
    <col width="8.77734375" customWidth="1" style="3" min="3083" max="3083"/>
    <col width="6.44140625" customWidth="1" style="3" min="3084" max="3084"/>
    <col width="26.109375" customWidth="1" style="3" min="3085" max="3085"/>
    <col width="7.109375" customWidth="1" style="3" min="3086" max="3086"/>
    <col width="11.109375" customWidth="1" style="3" min="3087" max="3087"/>
    <col width="5.109375" bestFit="1" customWidth="1" style="3" min="3088" max="3088"/>
    <col width="8.77734375" customWidth="1" style="3" min="3089" max="3092"/>
    <col width="7.44140625" bestFit="1" customWidth="1" style="3" min="3093" max="3093"/>
    <col width="9.109375" bestFit="1" customWidth="1" style="3" min="3094" max="3098"/>
    <col width="8.77734375" customWidth="1" style="3" min="3099" max="3331"/>
    <col width="4.33203125" customWidth="1" style="3" min="3332" max="3332"/>
    <col width="4" customWidth="1" style="3" min="3333" max="3333"/>
    <col width="4.109375" customWidth="1" style="3" min="3334" max="3334"/>
    <col width="8" customWidth="1" style="3" min="3335" max="3335"/>
    <col width="8.109375" customWidth="1" style="3" min="3336" max="3337"/>
    <col width="9.109375" customWidth="1" style="3" min="3338" max="3338"/>
    <col width="8.77734375" customWidth="1" style="3" min="3339" max="3339"/>
    <col width="6.44140625" customWidth="1" style="3" min="3340" max="3340"/>
    <col width="26.109375" customWidth="1" style="3" min="3341" max="3341"/>
    <col width="7.109375" customWidth="1" style="3" min="3342" max="3342"/>
    <col width="11.109375" customWidth="1" style="3" min="3343" max="3343"/>
    <col width="5.109375" bestFit="1" customWidth="1" style="3" min="3344" max="3344"/>
    <col width="8.77734375" customWidth="1" style="3" min="3345" max="3348"/>
    <col width="7.44140625" bestFit="1" customWidth="1" style="3" min="3349" max="3349"/>
    <col width="9.109375" bestFit="1" customWidth="1" style="3" min="3350" max="3354"/>
    <col width="8.77734375" customWidth="1" style="3" min="3355" max="3587"/>
    <col width="4.33203125" customWidth="1" style="3" min="3588" max="3588"/>
    <col width="4" customWidth="1" style="3" min="3589" max="3589"/>
    <col width="4.109375" customWidth="1" style="3" min="3590" max="3590"/>
    <col width="8" customWidth="1" style="3" min="3591" max="3591"/>
    <col width="8.109375" customWidth="1" style="3" min="3592" max="3593"/>
    <col width="9.109375" customWidth="1" style="3" min="3594" max="3594"/>
    <col width="8.77734375" customWidth="1" style="3" min="3595" max="3595"/>
    <col width="6.44140625" customWidth="1" style="3" min="3596" max="3596"/>
    <col width="26.109375" customWidth="1" style="3" min="3597" max="3597"/>
    <col width="7.109375" customWidth="1" style="3" min="3598" max="3598"/>
    <col width="11.109375" customWidth="1" style="3" min="3599" max="3599"/>
    <col width="5.109375" bestFit="1" customWidth="1" style="3" min="3600" max="3600"/>
    <col width="8.77734375" customWidth="1" style="3" min="3601" max="3604"/>
    <col width="7.44140625" bestFit="1" customWidth="1" style="3" min="3605" max="3605"/>
    <col width="9.109375" bestFit="1" customWidth="1" style="3" min="3606" max="3610"/>
    <col width="8.77734375" customWidth="1" style="3" min="3611" max="3843"/>
    <col width="4.33203125" customWidth="1" style="3" min="3844" max="3844"/>
    <col width="4" customWidth="1" style="3" min="3845" max="3845"/>
    <col width="4.109375" customWidth="1" style="3" min="3846" max="3846"/>
    <col width="8" customWidth="1" style="3" min="3847" max="3847"/>
    <col width="8.109375" customWidth="1" style="3" min="3848" max="3849"/>
    <col width="9.109375" customWidth="1" style="3" min="3850" max="3850"/>
    <col width="8.77734375" customWidth="1" style="3" min="3851" max="3851"/>
    <col width="6.44140625" customWidth="1" style="3" min="3852" max="3852"/>
    <col width="26.109375" customWidth="1" style="3" min="3853" max="3853"/>
    <col width="7.109375" customWidth="1" style="3" min="3854" max="3854"/>
    <col width="11.109375" customWidth="1" style="3" min="3855" max="3855"/>
    <col width="5.109375" bestFit="1" customWidth="1" style="3" min="3856" max="3856"/>
    <col width="8.77734375" customWidth="1" style="3" min="3857" max="3860"/>
    <col width="7.44140625" bestFit="1" customWidth="1" style="3" min="3861" max="3861"/>
    <col width="9.109375" bestFit="1" customWidth="1" style="3" min="3862" max="3866"/>
    <col width="8.77734375" customWidth="1" style="3" min="3867" max="4099"/>
    <col width="4.33203125" customWidth="1" style="3" min="4100" max="4100"/>
    <col width="4" customWidth="1" style="3" min="4101" max="4101"/>
    <col width="4.109375" customWidth="1" style="3" min="4102" max="4102"/>
    <col width="8" customWidth="1" style="3" min="4103" max="4103"/>
    <col width="8.109375" customWidth="1" style="3" min="4104" max="4105"/>
    <col width="9.109375" customWidth="1" style="3" min="4106" max="4106"/>
    <col width="8.77734375" customWidth="1" style="3" min="4107" max="4107"/>
    <col width="6.44140625" customWidth="1" style="3" min="4108" max="4108"/>
    <col width="26.109375" customWidth="1" style="3" min="4109" max="4109"/>
    <col width="7.109375" customWidth="1" style="3" min="4110" max="4110"/>
    <col width="11.109375" customWidth="1" style="3" min="4111" max="4111"/>
    <col width="5.109375" bestFit="1" customWidth="1" style="3" min="4112" max="4112"/>
    <col width="8.77734375" customWidth="1" style="3" min="4113" max="4116"/>
    <col width="7.44140625" bestFit="1" customWidth="1" style="3" min="4117" max="4117"/>
    <col width="9.109375" bestFit="1" customWidth="1" style="3" min="4118" max="4122"/>
    <col width="8.77734375" customWidth="1" style="3" min="4123" max="4355"/>
    <col width="4.33203125" customWidth="1" style="3" min="4356" max="4356"/>
    <col width="4" customWidth="1" style="3" min="4357" max="4357"/>
    <col width="4.109375" customWidth="1" style="3" min="4358" max="4358"/>
    <col width="8" customWidth="1" style="3" min="4359" max="4359"/>
    <col width="8.109375" customWidth="1" style="3" min="4360" max="4361"/>
    <col width="9.109375" customWidth="1" style="3" min="4362" max="4362"/>
    <col width="8.77734375" customWidth="1" style="3" min="4363" max="4363"/>
    <col width="6.44140625" customWidth="1" style="3" min="4364" max="4364"/>
    <col width="26.109375" customWidth="1" style="3" min="4365" max="4365"/>
    <col width="7.109375" customWidth="1" style="3" min="4366" max="4366"/>
    <col width="11.109375" customWidth="1" style="3" min="4367" max="4367"/>
    <col width="5.109375" bestFit="1" customWidth="1" style="3" min="4368" max="4368"/>
    <col width="8.77734375" customWidth="1" style="3" min="4369" max="4372"/>
    <col width="7.44140625" bestFit="1" customWidth="1" style="3" min="4373" max="4373"/>
    <col width="9.109375" bestFit="1" customWidth="1" style="3" min="4374" max="4378"/>
    <col width="8.77734375" customWidth="1" style="3" min="4379" max="4611"/>
    <col width="4.33203125" customWidth="1" style="3" min="4612" max="4612"/>
    <col width="4" customWidth="1" style="3" min="4613" max="4613"/>
    <col width="4.109375" customWidth="1" style="3" min="4614" max="4614"/>
    <col width="8" customWidth="1" style="3" min="4615" max="4615"/>
    <col width="8.109375" customWidth="1" style="3" min="4616" max="4617"/>
    <col width="9.109375" customWidth="1" style="3" min="4618" max="4618"/>
    <col width="8.77734375" customWidth="1" style="3" min="4619" max="4619"/>
    <col width="6.44140625" customWidth="1" style="3" min="4620" max="4620"/>
    <col width="26.109375" customWidth="1" style="3" min="4621" max="4621"/>
    <col width="7.109375" customWidth="1" style="3" min="4622" max="4622"/>
    <col width="11.109375" customWidth="1" style="3" min="4623" max="4623"/>
    <col width="5.109375" bestFit="1" customWidth="1" style="3" min="4624" max="4624"/>
    <col width="8.77734375" customWidth="1" style="3" min="4625" max="4628"/>
    <col width="7.44140625" bestFit="1" customWidth="1" style="3" min="4629" max="4629"/>
    <col width="9.109375" bestFit="1" customWidth="1" style="3" min="4630" max="4634"/>
    <col width="8.77734375" customWidth="1" style="3" min="4635" max="4867"/>
    <col width="4.33203125" customWidth="1" style="3" min="4868" max="4868"/>
    <col width="4" customWidth="1" style="3" min="4869" max="4869"/>
    <col width="4.109375" customWidth="1" style="3" min="4870" max="4870"/>
    <col width="8" customWidth="1" style="3" min="4871" max="4871"/>
    <col width="8.109375" customWidth="1" style="3" min="4872" max="4873"/>
    <col width="9.109375" customWidth="1" style="3" min="4874" max="4874"/>
    <col width="8.77734375" customWidth="1" style="3" min="4875" max="4875"/>
    <col width="6.44140625" customWidth="1" style="3" min="4876" max="4876"/>
    <col width="26.109375" customWidth="1" style="3" min="4877" max="4877"/>
    <col width="7.109375" customWidth="1" style="3" min="4878" max="4878"/>
    <col width="11.109375" customWidth="1" style="3" min="4879" max="4879"/>
    <col width="5.109375" bestFit="1" customWidth="1" style="3" min="4880" max="4880"/>
    <col width="8.77734375" customWidth="1" style="3" min="4881" max="4884"/>
    <col width="7.44140625" bestFit="1" customWidth="1" style="3" min="4885" max="4885"/>
    <col width="9.109375" bestFit="1" customWidth="1" style="3" min="4886" max="4890"/>
    <col width="8.77734375" customWidth="1" style="3" min="4891" max="5123"/>
    <col width="4.33203125" customWidth="1" style="3" min="5124" max="5124"/>
    <col width="4" customWidth="1" style="3" min="5125" max="5125"/>
    <col width="4.109375" customWidth="1" style="3" min="5126" max="5126"/>
    <col width="8" customWidth="1" style="3" min="5127" max="5127"/>
    <col width="8.109375" customWidth="1" style="3" min="5128" max="5129"/>
    <col width="9.109375" customWidth="1" style="3" min="5130" max="5130"/>
    <col width="8.77734375" customWidth="1" style="3" min="5131" max="5131"/>
    <col width="6.44140625" customWidth="1" style="3" min="5132" max="5132"/>
    <col width="26.109375" customWidth="1" style="3" min="5133" max="5133"/>
    <col width="7.109375" customWidth="1" style="3" min="5134" max="5134"/>
    <col width="11.109375" customWidth="1" style="3" min="5135" max="5135"/>
    <col width="5.109375" bestFit="1" customWidth="1" style="3" min="5136" max="5136"/>
    <col width="8.77734375" customWidth="1" style="3" min="5137" max="5140"/>
    <col width="7.44140625" bestFit="1" customWidth="1" style="3" min="5141" max="5141"/>
    <col width="9.109375" bestFit="1" customWidth="1" style="3" min="5142" max="5146"/>
    <col width="8.77734375" customWidth="1" style="3" min="5147" max="5379"/>
    <col width="4.33203125" customWidth="1" style="3" min="5380" max="5380"/>
    <col width="4" customWidth="1" style="3" min="5381" max="5381"/>
    <col width="4.109375" customWidth="1" style="3" min="5382" max="5382"/>
    <col width="8" customWidth="1" style="3" min="5383" max="5383"/>
    <col width="8.109375" customWidth="1" style="3" min="5384" max="5385"/>
    <col width="9.109375" customWidth="1" style="3" min="5386" max="5386"/>
    <col width="8.77734375" customWidth="1" style="3" min="5387" max="5387"/>
    <col width="6.44140625" customWidth="1" style="3" min="5388" max="5388"/>
    <col width="26.109375" customWidth="1" style="3" min="5389" max="5389"/>
    <col width="7.109375" customWidth="1" style="3" min="5390" max="5390"/>
    <col width="11.109375" customWidth="1" style="3" min="5391" max="5391"/>
    <col width="5.109375" bestFit="1" customWidth="1" style="3" min="5392" max="5392"/>
    <col width="8.77734375" customWidth="1" style="3" min="5393" max="5396"/>
    <col width="7.44140625" bestFit="1" customWidth="1" style="3" min="5397" max="5397"/>
    <col width="9.109375" bestFit="1" customWidth="1" style="3" min="5398" max="5402"/>
    <col width="8.77734375" customWidth="1" style="3" min="5403" max="5635"/>
    <col width="4.33203125" customWidth="1" style="3" min="5636" max="5636"/>
    <col width="4" customWidth="1" style="3" min="5637" max="5637"/>
    <col width="4.109375" customWidth="1" style="3" min="5638" max="5638"/>
    <col width="8" customWidth="1" style="3" min="5639" max="5639"/>
    <col width="8.109375" customWidth="1" style="3" min="5640" max="5641"/>
    <col width="9.109375" customWidth="1" style="3" min="5642" max="5642"/>
    <col width="8.77734375" customWidth="1" style="3" min="5643" max="5643"/>
    <col width="6.44140625" customWidth="1" style="3" min="5644" max="5644"/>
    <col width="26.109375" customWidth="1" style="3" min="5645" max="5645"/>
    <col width="7.109375" customWidth="1" style="3" min="5646" max="5646"/>
    <col width="11.109375" customWidth="1" style="3" min="5647" max="5647"/>
    <col width="5.109375" bestFit="1" customWidth="1" style="3" min="5648" max="5648"/>
    <col width="8.77734375" customWidth="1" style="3" min="5649" max="5652"/>
    <col width="7.44140625" bestFit="1" customWidth="1" style="3" min="5653" max="5653"/>
    <col width="9.109375" bestFit="1" customWidth="1" style="3" min="5654" max="5658"/>
    <col width="8.77734375" customWidth="1" style="3" min="5659" max="5891"/>
    <col width="4.33203125" customWidth="1" style="3" min="5892" max="5892"/>
    <col width="4" customWidth="1" style="3" min="5893" max="5893"/>
    <col width="4.109375" customWidth="1" style="3" min="5894" max="5894"/>
    <col width="8" customWidth="1" style="3" min="5895" max="5895"/>
    <col width="8.109375" customWidth="1" style="3" min="5896" max="5897"/>
    <col width="9.109375" customWidth="1" style="3" min="5898" max="5898"/>
    <col width="8.77734375" customWidth="1" style="3" min="5899" max="5899"/>
    <col width="6.44140625" customWidth="1" style="3" min="5900" max="5900"/>
    <col width="26.109375" customWidth="1" style="3" min="5901" max="5901"/>
    <col width="7.109375" customWidth="1" style="3" min="5902" max="5902"/>
    <col width="11.109375" customWidth="1" style="3" min="5903" max="5903"/>
    <col width="5.109375" bestFit="1" customWidth="1" style="3" min="5904" max="5904"/>
    <col width="8.77734375" customWidth="1" style="3" min="5905" max="5908"/>
    <col width="7.44140625" bestFit="1" customWidth="1" style="3" min="5909" max="5909"/>
    <col width="9.109375" bestFit="1" customWidth="1" style="3" min="5910" max="5914"/>
    <col width="8.77734375" customWidth="1" style="3" min="5915" max="6147"/>
    <col width="4.33203125" customWidth="1" style="3" min="6148" max="6148"/>
    <col width="4" customWidth="1" style="3" min="6149" max="6149"/>
    <col width="4.109375" customWidth="1" style="3" min="6150" max="6150"/>
    <col width="8" customWidth="1" style="3" min="6151" max="6151"/>
    <col width="8.109375" customWidth="1" style="3" min="6152" max="6153"/>
    <col width="9.109375" customWidth="1" style="3" min="6154" max="6154"/>
    <col width="8.77734375" customWidth="1" style="3" min="6155" max="6155"/>
    <col width="6.44140625" customWidth="1" style="3" min="6156" max="6156"/>
    <col width="26.109375" customWidth="1" style="3" min="6157" max="6157"/>
    <col width="7.109375" customWidth="1" style="3" min="6158" max="6158"/>
    <col width="11.109375" customWidth="1" style="3" min="6159" max="6159"/>
    <col width="5.109375" bestFit="1" customWidth="1" style="3" min="6160" max="6160"/>
    <col width="8.77734375" customWidth="1" style="3" min="6161" max="6164"/>
    <col width="7.44140625" bestFit="1" customWidth="1" style="3" min="6165" max="6165"/>
    <col width="9.109375" bestFit="1" customWidth="1" style="3" min="6166" max="6170"/>
    <col width="8.77734375" customWidth="1" style="3" min="6171" max="6403"/>
    <col width="4.33203125" customWidth="1" style="3" min="6404" max="6404"/>
    <col width="4" customWidth="1" style="3" min="6405" max="6405"/>
    <col width="4.109375" customWidth="1" style="3" min="6406" max="6406"/>
    <col width="8" customWidth="1" style="3" min="6407" max="6407"/>
    <col width="8.109375" customWidth="1" style="3" min="6408" max="6409"/>
    <col width="9.109375" customWidth="1" style="3" min="6410" max="6410"/>
    <col width="8.77734375" customWidth="1" style="3" min="6411" max="6411"/>
    <col width="6.44140625" customWidth="1" style="3" min="6412" max="6412"/>
    <col width="26.109375" customWidth="1" style="3" min="6413" max="6413"/>
    <col width="7.109375" customWidth="1" style="3" min="6414" max="6414"/>
    <col width="11.109375" customWidth="1" style="3" min="6415" max="6415"/>
    <col width="5.109375" bestFit="1" customWidth="1" style="3" min="6416" max="6416"/>
    <col width="8.77734375" customWidth="1" style="3" min="6417" max="6420"/>
    <col width="7.44140625" bestFit="1" customWidth="1" style="3" min="6421" max="6421"/>
    <col width="9.109375" bestFit="1" customWidth="1" style="3" min="6422" max="6426"/>
    <col width="8.77734375" customWidth="1" style="3" min="6427" max="6659"/>
    <col width="4.33203125" customWidth="1" style="3" min="6660" max="6660"/>
    <col width="4" customWidth="1" style="3" min="6661" max="6661"/>
    <col width="4.109375" customWidth="1" style="3" min="6662" max="6662"/>
    <col width="8" customWidth="1" style="3" min="6663" max="6663"/>
    <col width="8.109375" customWidth="1" style="3" min="6664" max="6665"/>
    <col width="9.109375" customWidth="1" style="3" min="6666" max="6666"/>
    <col width="8.77734375" customWidth="1" style="3" min="6667" max="6667"/>
    <col width="6.44140625" customWidth="1" style="3" min="6668" max="6668"/>
    <col width="26.109375" customWidth="1" style="3" min="6669" max="6669"/>
    <col width="7.109375" customWidth="1" style="3" min="6670" max="6670"/>
    <col width="11.109375" customWidth="1" style="3" min="6671" max="6671"/>
    <col width="5.109375" bestFit="1" customWidth="1" style="3" min="6672" max="6672"/>
    <col width="8.77734375" customWidth="1" style="3" min="6673" max="6676"/>
    <col width="7.44140625" bestFit="1" customWidth="1" style="3" min="6677" max="6677"/>
    <col width="9.109375" bestFit="1" customWidth="1" style="3" min="6678" max="6682"/>
    <col width="8.77734375" customWidth="1" style="3" min="6683" max="6915"/>
    <col width="4.33203125" customWidth="1" style="3" min="6916" max="6916"/>
    <col width="4" customWidth="1" style="3" min="6917" max="6917"/>
    <col width="4.109375" customWidth="1" style="3" min="6918" max="6918"/>
    <col width="8" customWidth="1" style="3" min="6919" max="6919"/>
    <col width="8.109375" customWidth="1" style="3" min="6920" max="6921"/>
    <col width="9.109375" customWidth="1" style="3" min="6922" max="6922"/>
    <col width="8.77734375" customWidth="1" style="3" min="6923" max="6923"/>
    <col width="6.44140625" customWidth="1" style="3" min="6924" max="6924"/>
    <col width="26.109375" customWidth="1" style="3" min="6925" max="6925"/>
    <col width="7.109375" customWidth="1" style="3" min="6926" max="6926"/>
    <col width="11.109375" customWidth="1" style="3" min="6927" max="6927"/>
    <col width="5.109375" bestFit="1" customWidth="1" style="3" min="6928" max="6928"/>
    <col width="8.77734375" customWidth="1" style="3" min="6929" max="6932"/>
    <col width="7.44140625" bestFit="1" customWidth="1" style="3" min="6933" max="6933"/>
    <col width="9.109375" bestFit="1" customWidth="1" style="3" min="6934" max="6938"/>
    <col width="8.77734375" customWidth="1" style="3" min="6939" max="7171"/>
    <col width="4.33203125" customWidth="1" style="3" min="7172" max="7172"/>
    <col width="4" customWidth="1" style="3" min="7173" max="7173"/>
    <col width="4.109375" customWidth="1" style="3" min="7174" max="7174"/>
    <col width="8" customWidth="1" style="3" min="7175" max="7175"/>
    <col width="8.109375" customWidth="1" style="3" min="7176" max="7177"/>
    <col width="9.109375" customWidth="1" style="3" min="7178" max="7178"/>
    <col width="8.77734375" customWidth="1" style="3" min="7179" max="7179"/>
    <col width="6.44140625" customWidth="1" style="3" min="7180" max="7180"/>
    <col width="26.109375" customWidth="1" style="3" min="7181" max="7181"/>
    <col width="7.109375" customWidth="1" style="3" min="7182" max="7182"/>
    <col width="11.109375" customWidth="1" style="3" min="7183" max="7183"/>
    <col width="5.109375" bestFit="1" customWidth="1" style="3" min="7184" max="7184"/>
    <col width="8.77734375" customWidth="1" style="3" min="7185" max="7188"/>
    <col width="7.44140625" bestFit="1" customWidth="1" style="3" min="7189" max="7189"/>
    <col width="9.109375" bestFit="1" customWidth="1" style="3" min="7190" max="7194"/>
    <col width="8.77734375" customWidth="1" style="3" min="7195" max="7427"/>
    <col width="4.33203125" customWidth="1" style="3" min="7428" max="7428"/>
    <col width="4" customWidth="1" style="3" min="7429" max="7429"/>
    <col width="4.109375" customWidth="1" style="3" min="7430" max="7430"/>
    <col width="8" customWidth="1" style="3" min="7431" max="7431"/>
    <col width="8.109375" customWidth="1" style="3" min="7432" max="7433"/>
    <col width="9.109375" customWidth="1" style="3" min="7434" max="7434"/>
    <col width="8.77734375" customWidth="1" style="3" min="7435" max="7435"/>
    <col width="6.44140625" customWidth="1" style="3" min="7436" max="7436"/>
    <col width="26.109375" customWidth="1" style="3" min="7437" max="7437"/>
    <col width="7.109375" customWidth="1" style="3" min="7438" max="7438"/>
    <col width="11.109375" customWidth="1" style="3" min="7439" max="7439"/>
    <col width="5.109375" bestFit="1" customWidth="1" style="3" min="7440" max="7440"/>
    <col width="8.77734375" customWidth="1" style="3" min="7441" max="7444"/>
    <col width="7.44140625" bestFit="1" customWidth="1" style="3" min="7445" max="7445"/>
    <col width="9.109375" bestFit="1" customWidth="1" style="3" min="7446" max="7450"/>
    <col width="8.77734375" customWidth="1" style="3" min="7451" max="7683"/>
    <col width="4.33203125" customWidth="1" style="3" min="7684" max="7684"/>
    <col width="4" customWidth="1" style="3" min="7685" max="7685"/>
    <col width="4.109375" customWidth="1" style="3" min="7686" max="7686"/>
    <col width="8" customWidth="1" style="3" min="7687" max="7687"/>
    <col width="8.109375" customWidth="1" style="3" min="7688" max="7689"/>
    <col width="9.109375" customWidth="1" style="3" min="7690" max="7690"/>
    <col width="8.77734375" customWidth="1" style="3" min="7691" max="7691"/>
    <col width="6.44140625" customWidth="1" style="3" min="7692" max="7692"/>
    <col width="26.109375" customWidth="1" style="3" min="7693" max="7693"/>
    <col width="7.109375" customWidth="1" style="3" min="7694" max="7694"/>
    <col width="11.109375" customWidth="1" style="3" min="7695" max="7695"/>
    <col width="5.109375" bestFit="1" customWidth="1" style="3" min="7696" max="7696"/>
    <col width="8.77734375" customWidth="1" style="3" min="7697" max="7700"/>
    <col width="7.44140625" bestFit="1" customWidth="1" style="3" min="7701" max="7701"/>
    <col width="9.109375" bestFit="1" customWidth="1" style="3" min="7702" max="7706"/>
    <col width="8.77734375" customWidth="1" style="3" min="7707" max="7939"/>
    <col width="4.33203125" customWidth="1" style="3" min="7940" max="7940"/>
    <col width="4" customWidth="1" style="3" min="7941" max="7941"/>
    <col width="4.109375" customWidth="1" style="3" min="7942" max="7942"/>
    <col width="8" customWidth="1" style="3" min="7943" max="7943"/>
    <col width="8.109375" customWidth="1" style="3" min="7944" max="7945"/>
    <col width="9.109375" customWidth="1" style="3" min="7946" max="7946"/>
    <col width="8.77734375" customWidth="1" style="3" min="7947" max="7947"/>
    <col width="6.44140625" customWidth="1" style="3" min="7948" max="7948"/>
    <col width="26.109375" customWidth="1" style="3" min="7949" max="7949"/>
    <col width="7.109375" customWidth="1" style="3" min="7950" max="7950"/>
    <col width="11.109375" customWidth="1" style="3" min="7951" max="7951"/>
    <col width="5.109375" bestFit="1" customWidth="1" style="3" min="7952" max="7952"/>
    <col width="8.77734375" customWidth="1" style="3" min="7953" max="7956"/>
    <col width="7.44140625" bestFit="1" customWidth="1" style="3" min="7957" max="7957"/>
    <col width="9.109375" bestFit="1" customWidth="1" style="3" min="7958" max="7962"/>
    <col width="8.77734375" customWidth="1" style="3" min="7963" max="8195"/>
    <col width="4.33203125" customWidth="1" style="3" min="8196" max="8196"/>
    <col width="4" customWidth="1" style="3" min="8197" max="8197"/>
    <col width="4.109375" customWidth="1" style="3" min="8198" max="8198"/>
    <col width="8" customWidth="1" style="3" min="8199" max="8199"/>
    <col width="8.109375" customWidth="1" style="3" min="8200" max="8201"/>
    <col width="9.109375" customWidth="1" style="3" min="8202" max="8202"/>
    <col width="8.77734375" customWidth="1" style="3" min="8203" max="8203"/>
    <col width="6.44140625" customWidth="1" style="3" min="8204" max="8204"/>
    <col width="26.109375" customWidth="1" style="3" min="8205" max="8205"/>
    <col width="7.109375" customWidth="1" style="3" min="8206" max="8206"/>
    <col width="11.109375" customWidth="1" style="3" min="8207" max="8207"/>
    <col width="5.109375" bestFit="1" customWidth="1" style="3" min="8208" max="8208"/>
    <col width="8.77734375" customWidth="1" style="3" min="8209" max="8212"/>
    <col width="7.44140625" bestFit="1" customWidth="1" style="3" min="8213" max="8213"/>
    <col width="9.109375" bestFit="1" customWidth="1" style="3" min="8214" max="8218"/>
    <col width="8.77734375" customWidth="1" style="3" min="8219" max="8451"/>
    <col width="4.33203125" customWidth="1" style="3" min="8452" max="8452"/>
    <col width="4" customWidth="1" style="3" min="8453" max="8453"/>
    <col width="4.109375" customWidth="1" style="3" min="8454" max="8454"/>
    <col width="8" customWidth="1" style="3" min="8455" max="8455"/>
    <col width="8.109375" customWidth="1" style="3" min="8456" max="8457"/>
    <col width="9.109375" customWidth="1" style="3" min="8458" max="8458"/>
    <col width="8.77734375" customWidth="1" style="3" min="8459" max="8459"/>
    <col width="6.44140625" customWidth="1" style="3" min="8460" max="8460"/>
    <col width="26.109375" customWidth="1" style="3" min="8461" max="8461"/>
    <col width="7.109375" customWidth="1" style="3" min="8462" max="8462"/>
    <col width="11.109375" customWidth="1" style="3" min="8463" max="8463"/>
    <col width="5.109375" bestFit="1" customWidth="1" style="3" min="8464" max="8464"/>
    <col width="8.77734375" customWidth="1" style="3" min="8465" max="8468"/>
    <col width="7.44140625" bestFit="1" customWidth="1" style="3" min="8469" max="8469"/>
    <col width="9.109375" bestFit="1" customWidth="1" style="3" min="8470" max="8474"/>
    <col width="8.77734375" customWidth="1" style="3" min="8475" max="8707"/>
    <col width="4.33203125" customWidth="1" style="3" min="8708" max="8708"/>
    <col width="4" customWidth="1" style="3" min="8709" max="8709"/>
    <col width="4.109375" customWidth="1" style="3" min="8710" max="8710"/>
    <col width="8" customWidth="1" style="3" min="8711" max="8711"/>
    <col width="8.109375" customWidth="1" style="3" min="8712" max="8713"/>
    <col width="9.109375" customWidth="1" style="3" min="8714" max="8714"/>
    <col width="8.77734375" customWidth="1" style="3" min="8715" max="8715"/>
    <col width="6.44140625" customWidth="1" style="3" min="8716" max="8716"/>
    <col width="26.109375" customWidth="1" style="3" min="8717" max="8717"/>
    <col width="7.109375" customWidth="1" style="3" min="8718" max="8718"/>
    <col width="11.109375" customWidth="1" style="3" min="8719" max="8719"/>
    <col width="5.109375" bestFit="1" customWidth="1" style="3" min="8720" max="8720"/>
    <col width="8.77734375" customWidth="1" style="3" min="8721" max="8724"/>
    <col width="7.44140625" bestFit="1" customWidth="1" style="3" min="8725" max="8725"/>
    <col width="9.109375" bestFit="1" customWidth="1" style="3" min="8726" max="8730"/>
    <col width="8.77734375" customWidth="1" style="3" min="8731" max="8963"/>
    <col width="4.33203125" customWidth="1" style="3" min="8964" max="8964"/>
    <col width="4" customWidth="1" style="3" min="8965" max="8965"/>
    <col width="4.109375" customWidth="1" style="3" min="8966" max="8966"/>
    <col width="8" customWidth="1" style="3" min="8967" max="8967"/>
    <col width="8.109375" customWidth="1" style="3" min="8968" max="8969"/>
    <col width="9.109375" customWidth="1" style="3" min="8970" max="8970"/>
    <col width="8.77734375" customWidth="1" style="3" min="8971" max="8971"/>
    <col width="6.44140625" customWidth="1" style="3" min="8972" max="8972"/>
    <col width="26.109375" customWidth="1" style="3" min="8973" max="8973"/>
    <col width="7.109375" customWidth="1" style="3" min="8974" max="8974"/>
    <col width="11.109375" customWidth="1" style="3" min="8975" max="8975"/>
    <col width="5.109375" bestFit="1" customWidth="1" style="3" min="8976" max="8976"/>
    <col width="8.77734375" customWidth="1" style="3" min="8977" max="8980"/>
    <col width="7.44140625" bestFit="1" customWidth="1" style="3" min="8981" max="8981"/>
    <col width="9.109375" bestFit="1" customWidth="1" style="3" min="8982" max="8986"/>
    <col width="8.77734375" customWidth="1" style="3" min="8987" max="9219"/>
    <col width="4.33203125" customWidth="1" style="3" min="9220" max="9220"/>
    <col width="4" customWidth="1" style="3" min="9221" max="9221"/>
    <col width="4.109375" customWidth="1" style="3" min="9222" max="9222"/>
    <col width="8" customWidth="1" style="3" min="9223" max="9223"/>
    <col width="8.109375" customWidth="1" style="3" min="9224" max="9225"/>
    <col width="9.109375" customWidth="1" style="3" min="9226" max="9226"/>
    <col width="8.77734375" customWidth="1" style="3" min="9227" max="9227"/>
    <col width="6.44140625" customWidth="1" style="3" min="9228" max="9228"/>
    <col width="26.109375" customWidth="1" style="3" min="9229" max="9229"/>
    <col width="7.109375" customWidth="1" style="3" min="9230" max="9230"/>
    <col width="11.109375" customWidth="1" style="3" min="9231" max="9231"/>
    <col width="5.109375" bestFit="1" customWidth="1" style="3" min="9232" max="9232"/>
    <col width="8.77734375" customWidth="1" style="3" min="9233" max="9236"/>
    <col width="7.44140625" bestFit="1" customWidth="1" style="3" min="9237" max="9237"/>
    <col width="9.109375" bestFit="1" customWidth="1" style="3" min="9238" max="9242"/>
    <col width="8.77734375" customWidth="1" style="3" min="9243" max="9475"/>
    <col width="4.33203125" customWidth="1" style="3" min="9476" max="9476"/>
    <col width="4" customWidth="1" style="3" min="9477" max="9477"/>
    <col width="4.109375" customWidth="1" style="3" min="9478" max="9478"/>
    <col width="8" customWidth="1" style="3" min="9479" max="9479"/>
    <col width="8.109375" customWidth="1" style="3" min="9480" max="9481"/>
    <col width="9.109375" customWidth="1" style="3" min="9482" max="9482"/>
    <col width="8.77734375" customWidth="1" style="3" min="9483" max="9483"/>
    <col width="6.44140625" customWidth="1" style="3" min="9484" max="9484"/>
    <col width="26.109375" customWidth="1" style="3" min="9485" max="9485"/>
    <col width="7.109375" customWidth="1" style="3" min="9486" max="9486"/>
    <col width="11.109375" customWidth="1" style="3" min="9487" max="9487"/>
    <col width="5.109375" bestFit="1" customWidth="1" style="3" min="9488" max="9488"/>
    <col width="8.77734375" customWidth="1" style="3" min="9489" max="9492"/>
    <col width="7.44140625" bestFit="1" customWidth="1" style="3" min="9493" max="9493"/>
    <col width="9.109375" bestFit="1" customWidth="1" style="3" min="9494" max="9498"/>
    <col width="8.77734375" customWidth="1" style="3" min="9499" max="9731"/>
    <col width="4.33203125" customWidth="1" style="3" min="9732" max="9732"/>
    <col width="4" customWidth="1" style="3" min="9733" max="9733"/>
    <col width="4.109375" customWidth="1" style="3" min="9734" max="9734"/>
    <col width="8" customWidth="1" style="3" min="9735" max="9735"/>
    <col width="8.109375" customWidth="1" style="3" min="9736" max="9737"/>
    <col width="9.109375" customWidth="1" style="3" min="9738" max="9738"/>
    <col width="8.77734375" customWidth="1" style="3" min="9739" max="9739"/>
    <col width="6.44140625" customWidth="1" style="3" min="9740" max="9740"/>
    <col width="26.109375" customWidth="1" style="3" min="9741" max="9741"/>
    <col width="7.109375" customWidth="1" style="3" min="9742" max="9742"/>
    <col width="11.109375" customWidth="1" style="3" min="9743" max="9743"/>
    <col width="5.109375" bestFit="1" customWidth="1" style="3" min="9744" max="9744"/>
    <col width="8.77734375" customWidth="1" style="3" min="9745" max="9748"/>
    <col width="7.44140625" bestFit="1" customWidth="1" style="3" min="9749" max="9749"/>
    <col width="9.109375" bestFit="1" customWidth="1" style="3" min="9750" max="9754"/>
    <col width="8.77734375" customWidth="1" style="3" min="9755" max="9987"/>
    <col width="4.33203125" customWidth="1" style="3" min="9988" max="9988"/>
    <col width="4" customWidth="1" style="3" min="9989" max="9989"/>
    <col width="4.109375" customWidth="1" style="3" min="9990" max="9990"/>
    <col width="8" customWidth="1" style="3" min="9991" max="9991"/>
    <col width="8.109375" customWidth="1" style="3" min="9992" max="9993"/>
    <col width="9.109375" customWidth="1" style="3" min="9994" max="9994"/>
    <col width="8.77734375" customWidth="1" style="3" min="9995" max="9995"/>
    <col width="6.44140625" customWidth="1" style="3" min="9996" max="9996"/>
    <col width="26.109375" customWidth="1" style="3" min="9997" max="9997"/>
    <col width="7.109375" customWidth="1" style="3" min="9998" max="9998"/>
    <col width="11.109375" customWidth="1" style="3" min="9999" max="9999"/>
    <col width="5.109375" bestFit="1" customWidth="1" style="3" min="10000" max="10000"/>
    <col width="8.77734375" customWidth="1" style="3" min="10001" max="10004"/>
    <col width="7.44140625" bestFit="1" customWidth="1" style="3" min="10005" max="10005"/>
    <col width="9.109375" bestFit="1" customWidth="1" style="3" min="10006" max="10010"/>
    <col width="8.77734375" customWidth="1" style="3" min="10011" max="10243"/>
    <col width="4.33203125" customWidth="1" style="3" min="10244" max="10244"/>
    <col width="4" customWidth="1" style="3" min="10245" max="10245"/>
    <col width="4.109375" customWidth="1" style="3" min="10246" max="10246"/>
    <col width="8" customWidth="1" style="3" min="10247" max="10247"/>
    <col width="8.109375" customWidth="1" style="3" min="10248" max="10249"/>
    <col width="9.109375" customWidth="1" style="3" min="10250" max="10250"/>
    <col width="8.77734375" customWidth="1" style="3" min="10251" max="10251"/>
    <col width="6.44140625" customWidth="1" style="3" min="10252" max="10252"/>
    <col width="26.109375" customWidth="1" style="3" min="10253" max="10253"/>
    <col width="7.109375" customWidth="1" style="3" min="10254" max="10254"/>
    <col width="11.109375" customWidth="1" style="3" min="10255" max="10255"/>
    <col width="5.109375" bestFit="1" customWidth="1" style="3" min="10256" max="10256"/>
    <col width="8.77734375" customWidth="1" style="3" min="10257" max="10260"/>
    <col width="7.44140625" bestFit="1" customWidth="1" style="3" min="10261" max="10261"/>
    <col width="9.109375" bestFit="1" customWidth="1" style="3" min="10262" max="10266"/>
    <col width="8.77734375" customWidth="1" style="3" min="10267" max="10499"/>
    <col width="4.33203125" customWidth="1" style="3" min="10500" max="10500"/>
    <col width="4" customWidth="1" style="3" min="10501" max="10501"/>
    <col width="4.109375" customWidth="1" style="3" min="10502" max="10502"/>
    <col width="8" customWidth="1" style="3" min="10503" max="10503"/>
    <col width="8.109375" customWidth="1" style="3" min="10504" max="10505"/>
    <col width="9.109375" customWidth="1" style="3" min="10506" max="10506"/>
    <col width="8.77734375" customWidth="1" style="3" min="10507" max="10507"/>
    <col width="6.44140625" customWidth="1" style="3" min="10508" max="10508"/>
    <col width="26.109375" customWidth="1" style="3" min="10509" max="10509"/>
    <col width="7.109375" customWidth="1" style="3" min="10510" max="10510"/>
    <col width="11.109375" customWidth="1" style="3" min="10511" max="10511"/>
    <col width="5.109375" bestFit="1" customWidth="1" style="3" min="10512" max="10512"/>
    <col width="8.77734375" customWidth="1" style="3" min="10513" max="10516"/>
    <col width="7.44140625" bestFit="1" customWidth="1" style="3" min="10517" max="10517"/>
    <col width="9.109375" bestFit="1" customWidth="1" style="3" min="10518" max="10522"/>
    <col width="8.77734375" customWidth="1" style="3" min="10523" max="10755"/>
    <col width="4.33203125" customWidth="1" style="3" min="10756" max="10756"/>
    <col width="4" customWidth="1" style="3" min="10757" max="10757"/>
    <col width="4.109375" customWidth="1" style="3" min="10758" max="10758"/>
    <col width="8" customWidth="1" style="3" min="10759" max="10759"/>
    <col width="8.109375" customWidth="1" style="3" min="10760" max="10761"/>
    <col width="9.109375" customWidth="1" style="3" min="10762" max="10762"/>
    <col width="8.77734375" customWidth="1" style="3" min="10763" max="10763"/>
    <col width="6.44140625" customWidth="1" style="3" min="10764" max="10764"/>
    <col width="26.109375" customWidth="1" style="3" min="10765" max="10765"/>
    <col width="7.109375" customWidth="1" style="3" min="10766" max="10766"/>
    <col width="11.109375" customWidth="1" style="3" min="10767" max="10767"/>
    <col width="5.109375" bestFit="1" customWidth="1" style="3" min="10768" max="10768"/>
    <col width="8.77734375" customWidth="1" style="3" min="10769" max="10772"/>
    <col width="7.44140625" bestFit="1" customWidth="1" style="3" min="10773" max="10773"/>
    <col width="9.109375" bestFit="1" customWidth="1" style="3" min="10774" max="10778"/>
    <col width="8.77734375" customWidth="1" style="3" min="10779" max="11011"/>
    <col width="4.33203125" customWidth="1" style="3" min="11012" max="11012"/>
    <col width="4" customWidth="1" style="3" min="11013" max="11013"/>
    <col width="4.109375" customWidth="1" style="3" min="11014" max="11014"/>
    <col width="8" customWidth="1" style="3" min="11015" max="11015"/>
    <col width="8.109375" customWidth="1" style="3" min="11016" max="11017"/>
    <col width="9.109375" customWidth="1" style="3" min="11018" max="11018"/>
    <col width="8.77734375" customWidth="1" style="3" min="11019" max="11019"/>
    <col width="6.44140625" customWidth="1" style="3" min="11020" max="11020"/>
    <col width="26.109375" customWidth="1" style="3" min="11021" max="11021"/>
    <col width="7.109375" customWidth="1" style="3" min="11022" max="11022"/>
    <col width="11.109375" customWidth="1" style="3" min="11023" max="11023"/>
    <col width="5.109375" bestFit="1" customWidth="1" style="3" min="11024" max="11024"/>
    <col width="8.77734375" customWidth="1" style="3" min="11025" max="11028"/>
    <col width="7.44140625" bestFit="1" customWidth="1" style="3" min="11029" max="11029"/>
    <col width="9.109375" bestFit="1" customWidth="1" style="3" min="11030" max="11034"/>
    <col width="8.77734375" customWidth="1" style="3" min="11035" max="11267"/>
    <col width="4.33203125" customWidth="1" style="3" min="11268" max="11268"/>
    <col width="4" customWidth="1" style="3" min="11269" max="11269"/>
    <col width="4.109375" customWidth="1" style="3" min="11270" max="11270"/>
    <col width="8" customWidth="1" style="3" min="11271" max="11271"/>
    <col width="8.109375" customWidth="1" style="3" min="11272" max="11273"/>
    <col width="9.109375" customWidth="1" style="3" min="11274" max="11274"/>
    <col width="8.77734375" customWidth="1" style="3" min="11275" max="11275"/>
    <col width="6.44140625" customWidth="1" style="3" min="11276" max="11276"/>
    <col width="26.109375" customWidth="1" style="3" min="11277" max="11277"/>
    <col width="7.109375" customWidth="1" style="3" min="11278" max="11278"/>
    <col width="11.109375" customWidth="1" style="3" min="11279" max="11279"/>
    <col width="5.109375" bestFit="1" customWidth="1" style="3" min="11280" max="11280"/>
    <col width="8.77734375" customWidth="1" style="3" min="11281" max="11284"/>
    <col width="7.44140625" bestFit="1" customWidth="1" style="3" min="11285" max="11285"/>
    <col width="9.109375" bestFit="1" customWidth="1" style="3" min="11286" max="11290"/>
    <col width="8.77734375" customWidth="1" style="3" min="11291" max="11523"/>
    <col width="4.33203125" customWidth="1" style="3" min="11524" max="11524"/>
    <col width="4" customWidth="1" style="3" min="11525" max="11525"/>
    <col width="4.109375" customWidth="1" style="3" min="11526" max="11526"/>
    <col width="8" customWidth="1" style="3" min="11527" max="11527"/>
    <col width="8.109375" customWidth="1" style="3" min="11528" max="11529"/>
    <col width="9.109375" customWidth="1" style="3" min="11530" max="11530"/>
    <col width="8.77734375" customWidth="1" style="3" min="11531" max="11531"/>
    <col width="6.44140625" customWidth="1" style="3" min="11532" max="11532"/>
    <col width="26.109375" customWidth="1" style="3" min="11533" max="11533"/>
    <col width="7.109375" customWidth="1" style="3" min="11534" max="11534"/>
    <col width="11.109375" customWidth="1" style="3" min="11535" max="11535"/>
    <col width="5.109375" bestFit="1" customWidth="1" style="3" min="11536" max="11536"/>
    <col width="8.77734375" customWidth="1" style="3" min="11537" max="11540"/>
    <col width="7.44140625" bestFit="1" customWidth="1" style="3" min="11541" max="11541"/>
    <col width="9.109375" bestFit="1" customWidth="1" style="3" min="11542" max="11546"/>
    <col width="8.77734375" customWidth="1" style="3" min="11547" max="11779"/>
    <col width="4.33203125" customWidth="1" style="3" min="11780" max="11780"/>
    <col width="4" customWidth="1" style="3" min="11781" max="11781"/>
    <col width="4.109375" customWidth="1" style="3" min="11782" max="11782"/>
    <col width="8" customWidth="1" style="3" min="11783" max="11783"/>
    <col width="8.109375" customWidth="1" style="3" min="11784" max="11785"/>
    <col width="9.109375" customWidth="1" style="3" min="11786" max="11786"/>
    <col width="8.77734375" customWidth="1" style="3" min="11787" max="11787"/>
    <col width="6.44140625" customWidth="1" style="3" min="11788" max="11788"/>
    <col width="26.109375" customWidth="1" style="3" min="11789" max="11789"/>
    <col width="7.109375" customWidth="1" style="3" min="11790" max="11790"/>
    <col width="11.109375" customWidth="1" style="3" min="11791" max="11791"/>
    <col width="5.109375" bestFit="1" customWidth="1" style="3" min="11792" max="11792"/>
    <col width="8.77734375" customWidth="1" style="3" min="11793" max="11796"/>
    <col width="7.44140625" bestFit="1" customWidth="1" style="3" min="11797" max="11797"/>
    <col width="9.109375" bestFit="1" customWidth="1" style="3" min="11798" max="11802"/>
    <col width="8.77734375" customWidth="1" style="3" min="11803" max="12035"/>
    <col width="4.33203125" customWidth="1" style="3" min="12036" max="12036"/>
    <col width="4" customWidth="1" style="3" min="12037" max="12037"/>
    <col width="4.109375" customWidth="1" style="3" min="12038" max="12038"/>
    <col width="8" customWidth="1" style="3" min="12039" max="12039"/>
    <col width="8.109375" customWidth="1" style="3" min="12040" max="12041"/>
    <col width="9.109375" customWidth="1" style="3" min="12042" max="12042"/>
    <col width="8.77734375" customWidth="1" style="3" min="12043" max="12043"/>
    <col width="6.44140625" customWidth="1" style="3" min="12044" max="12044"/>
    <col width="26.109375" customWidth="1" style="3" min="12045" max="12045"/>
    <col width="7.109375" customWidth="1" style="3" min="12046" max="12046"/>
    <col width="11.109375" customWidth="1" style="3" min="12047" max="12047"/>
    <col width="5.109375" bestFit="1" customWidth="1" style="3" min="12048" max="12048"/>
    <col width="8.77734375" customWidth="1" style="3" min="12049" max="12052"/>
    <col width="7.44140625" bestFit="1" customWidth="1" style="3" min="12053" max="12053"/>
    <col width="9.109375" bestFit="1" customWidth="1" style="3" min="12054" max="12058"/>
    <col width="8.77734375" customWidth="1" style="3" min="12059" max="12291"/>
    <col width="4.33203125" customWidth="1" style="3" min="12292" max="12292"/>
    <col width="4" customWidth="1" style="3" min="12293" max="12293"/>
    <col width="4.109375" customWidth="1" style="3" min="12294" max="12294"/>
    <col width="8" customWidth="1" style="3" min="12295" max="12295"/>
    <col width="8.109375" customWidth="1" style="3" min="12296" max="12297"/>
    <col width="9.109375" customWidth="1" style="3" min="12298" max="12298"/>
    <col width="8.77734375" customWidth="1" style="3" min="12299" max="12299"/>
    <col width="6.44140625" customWidth="1" style="3" min="12300" max="12300"/>
    <col width="26.109375" customWidth="1" style="3" min="12301" max="12301"/>
    <col width="7.109375" customWidth="1" style="3" min="12302" max="12302"/>
    <col width="11.109375" customWidth="1" style="3" min="12303" max="12303"/>
    <col width="5.109375" bestFit="1" customWidth="1" style="3" min="12304" max="12304"/>
    <col width="8.77734375" customWidth="1" style="3" min="12305" max="12308"/>
    <col width="7.44140625" bestFit="1" customWidth="1" style="3" min="12309" max="12309"/>
    <col width="9.109375" bestFit="1" customWidth="1" style="3" min="12310" max="12314"/>
    <col width="8.77734375" customWidth="1" style="3" min="12315" max="12547"/>
    <col width="4.33203125" customWidth="1" style="3" min="12548" max="12548"/>
    <col width="4" customWidth="1" style="3" min="12549" max="12549"/>
    <col width="4.109375" customWidth="1" style="3" min="12550" max="12550"/>
    <col width="8" customWidth="1" style="3" min="12551" max="12551"/>
    <col width="8.109375" customWidth="1" style="3" min="12552" max="12553"/>
    <col width="9.109375" customWidth="1" style="3" min="12554" max="12554"/>
    <col width="8.77734375" customWidth="1" style="3" min="12555" max="12555"/>
    <col width="6.44140625" customWidth="1" style="3" min="12556" max="12556"/>
    <col width="26.109375" customWidth="1" style="3" min="12557" max="12557"/>
    <col width="7.109375" customWidth="1" style="3" min="12558" max="12558"/>
    <col width="11.109375" customWidth="1" style="3" min="12559" max="12559"/>
    <col width="5.109375" bestFit="1" customWidth="1" style="3" min="12560" max="12560"/>
    <col width="8.77734375" customWidth="1" style="3" min="12561" max="12564"/>
    <col width="7.44140625" bestFit="1" customWidth="1" style="3" min="12565" max="12565"/>
    <col width="9.109375" bestFit="1" customWidth="1" style="3" min="12566" max="12570"/>
    <col width="8.77734375" customWidth="1" style="3" min="12571" max="12803"/>
    <col width="4.33203125" customWidth="1" style="3" min="12804" max="12804"/>
    <col width="4" customWidth="1" style="3" min="12805" max="12805"/>
    <col width="4.109375" customWidth="1" style="3" min="12806" max="12806"/>
    <col width="8" customWidth="1" style="3" min="12807" max="12807"/>
    <col width="8.109375" customWidth="1" style="3" min="12808" max="12809"/>
    <col width="9.109375" customWidth="1" style="3" min="12810" max="12810"/>
    <col width="8.77734375" customWidth="1" style="3" min="12811" max="12811"/>
    <col width="6.44140625" customWidth="1" style="3" min="12812" max="12812"/>
    <col width="26.109375" customWidth="1" style="3" min="12813" max="12813"/>
    <col width="7.109375" customWidth="1" style="3" min="12814" max="12814"/>
    <col width="11.109375" customWidth="1" style="3" min="12815" max="12815"/>
    <col width="5.109375" bestFit="1" customWidth="1" style="3" min="12816" max="12816"/>
    <col width="8.77734375" customWidth="1" style="3" min="12817" max="12820"/>
    <col width="7.44140625" bestFit="1" customWidth="1" style="3" min="12821" max="12821"/>
    <col width="9.109375" bestFit="1" customWidth="1" style="3" min="12822" max="12826"/>
    <col width="8.77734375" customWidth="1" style="3" min="12827" max="13059"/>
    <col width="4.33203125" customWidth="1" style="3" min="13060" max="13060"/>
    <col width="4" customWidth="1" style="3" min="13061" max="13061"/>
    <col width="4.109375" customWidth="1" style="3" min="13062" max="13062"/>
    <col width="8" customWidth="1" style="3" min="13063" max="13063"/>
    <col width="8.109375" customWidth="1" style="3" min="13064" max="13065"/>
    <col width="9.109375" customWidth="1" style="3" min="13066" max="13066"/>
    <col width="8.77734375" customWidth="1" style="3" min="13067" max="13067"/>
    <col width="6.44140625" customWidth="1" style="3" min="13068" max="13068"/>
    <col width="26.109375" customWidth="1" style="3" min="13069" max="13069"/>
    <col width="7.109375" customWidth="1" style="3" min="13070" max="13070"/>
    <col width="11.109375" customWidth="1" style="3" min="13071" max="13071"/>
    <col width="5.109375" bestFit="1" customWidth="1" style="3" min="13072" max="13072"/>
    <col width="8.77734375" customWidth="1" style="3" min="13073" max="13076"/>
    <col width="7.44140625" bestFit="1" customWidth="1" style="3" min="13077" max="13077"/>
    <col width="9.109375" bestFit="1" customWidth="1" style="3" min="13078" max="13082"/>
    <col width="8.77734375" customWidth="1" style="3" min="13083" max="13315"/>
    <col width="4.33203125" customWidth="1" style="3" min="13316" max="13316"/>
    <col width="4" customWidth="1" style="3" min="13317" max="13317"/>
    <col width="4.109375" customWidth="1" style="3" min="13318" max="13318"/>
    <col width="8" customWidth="1" style="3" min="13319" max="13319"/>
    <col width="8.109375" customWidth="1" style="3" min="13320" max="13321"/>
    <col width="9.109375" customWidth="1" style="3" min="13322" max="13322"/>
    <col width="8.77734375" customWidth="1" style="3" min="13323" max="13323"/>
    <col width="6.44140625" customWidth="1" style="3" min="13324" max="13324"/>
    <col width="26.109375" customWidth="1" style="3" min="13325" max="13325"/>
    <col width="7.109375" customWidth="1" style="3" min="13326" max="13326"/>
    <col width="11.109375" customWidth="1" style="3" min="13327" max="13327"/>
    <col width="5.109375" bestFit="1" customWidth="1" style="3" min="13328" max="13328"/>
    <col width="8.77734375" customWidth="1" style="3" min="13329" max="13332"/>
    <col width="7.44140625" bestFit="1" customWidth="1" style="3" min="13333" max="13333"/>
    <col width="9.109375" bestFit="1" customWidth="1" style="3" min="13334" max="13338"/>
    <col width="8.77734375" customWidth="1" style="3" min="13339" max="13571"/>
    <col width="4.33203125" customWidth="1" style="3" min="13572" max="13572"/>
    <col width="4" customWidth="1" style="3" min="13573" max="13573"/>
    <col width="4.109375" customWidth="1" style="3" min="13574" max="13574"/>
    <col width="8" customWidth="1" style="3" min="13575" max="13575"/>
    <col width="8.109375" customWidth="1" style="3" min="13576" max="13577"/>
    <col width="9.109375" customWidth="1" style="3" min="13578" max="13578"/>
    <col width="8.77734375" customWidth="1" style="3" min="13579" max="13579"/>
    <col width="6.44140625" customWidth="1" style="3" min="13580" max="13580"/>
    <col width="26.109375" customWidth="1" style="3" min="13581" max="13581"/>
    <col width="7.109375" customWidth="1" style="3" min="13582" max="13582"/>
    <col width="11.109375" customWidth="1" style="3" min="13583" max="13583"/>
    <col width="5.109375" bestFit="1" customWidth="1" style="3" min="13584" max="13584"/>
    <col width="8.77734375" customWidth="1" style="3" min="13585" max="13588"/>
    <col width="7.44140625" bestFit="1" customWidth="1" style="3" min="13589" max="13589"/>
    <col width="9.109375" bestFit="1" customWidth="1" style="3" min="13590" max="13594"/>
    <col width="8.77734375" customWidth="1" style="3" min="13595" max="13827"/>
    <col width="4.33203125" customWidth="1" style="3" min="13828" max="13828"/>
    <col width="4" customWidth="1" style="3" min="13829" max="13829"/>
    <col width="4.109375" customWidth="1" style="3" min="13830" max="13830"/>
    <col width="8" customWidth="1" style="3" min="13831" max="13831"/>
    <col width="8.109375" customWidth="1" style="3" min="13832" max="13833"/>
    <col width="9.109375" customWidth="1" style="3" min="13834" max="13834"/>
    <col width="8.77734375" customWidth="1" style="3" min="13835" max="13835"/>
    <col width="6.44140625" customWidth="1" style="3" min="13836" max="13836"/>
    <col width="26.109375" customWidth="1" style="3" min="13837" max="13837"/>
    <col width="7.109375" customWidth="1" style="3" min="13838" max="13838"/>
    <col width="11.109375" customWidth="1" style="3" min="13839" max="13839"/>
    <col width="5.109375" bestFit="1" customWidth="1" style="3" min="13840" max="13840"/>
    <col width="8.77734375" customWidth="1" style="3" min="13841" max="13844"/>
    <col width="7.44140625" bestFit="1" customWidth="1" style="3" min="13845" max="13845"/>
    <col width="9.109375" bestFit="1" customWidth="1" style="3" min="13846" max="13850"/>
    <col width="8.77734375" customWidth="1" style="3" min="13851" max="14083"/>
    <col width="4.33203125" customWidth="1" style="3" min="14084" max="14084"/>
    <col width="4" customWidth="1" style="3" min="14085" max="14085"/>
    <col width="4.109375" customWidth="1" style="3" min="14086" max="14086"/>
    <col width="8" customWidth="1" style="3" min="14087" max="14087"/>
    <col width="8.109375" customWidth="1" style="3" min="14088" max="14089"/>
    <col width="9.109375" customWidth="1" style="3" min="14090" max="14090"/>
    <col width="8.77734375" customWidth="1" style="3" min="14091" max="14091"/>
    <col width="6.44140625" customWidth="1" style="3" min="14092" max="14092"/>
    <col width="26.109375" customWidth="1" style="3" min="14093" max="14093"/>
    <col width="7.109375" customWidth="1" style="3" min="14094" max="14094"/>
    <col width="11.109375" customWidth="1" style="3" min="14095" max="14095"/>
    <col width="5.109375" bestFit="1" customWidth="1" style="3" min="14096" max="14096"/>
    <col width="8.77734375" customWidth="1" style="3" min="14097" max="14100"/>
    <col width="7.44140625" bestFit="1" customWidth="1" style="3" min="14101" max="14101"/>
    <col width="9.109375" bestFit="1" customWidth="1" style="3" min="14102" max="14106"/>
    <col width="8.77734375" customWidth="1" style="3" min="14107" max="14339"/>
    <col width="4.33203125" customWidth="1" style="3" min="14340" max="14340"/>
    <col width="4" customWidth="1" style="3" min="14341" max="14341"/>
    <col width="4.109375" customWidth="1" style="3" min="14342" max="14342"/>
    <col width="8" customWidth="1" style="3" min="14343" max="14343"/>
    <col width="8.109375" customWidth="1" style="3" min="14344" max="14345"/>
    <col width="9.109375" customWidth="1" style="3" min="14346" max="14346"/>
    <col width="8.77734375" customWidth="1" style="3" min="14347" max="14347"/>
    <col width="6.44140625" customWidth="1" style="3" min="14348" max="14348"/>
    <col width="26.109375" customWidth="1" style="3" min="14349" max="14349"/>
    <col width="7.109375" customWidth="1" style="3" min="14350" max="14350"/>
    <col width="11.109375" customWidth="1" style="3" min="14351" max="14351"/>
    <col width="5.109375" bestFit="1" customWidth="1" style="3" min="14352" max="14352"/>
    <col width="8.77734375" customWidth="1" style="3" min="14353" max="14356"/>
    <col width="7.44140625" bestFit="1" customWidth="1" style="3" min="14357" max="14357"/>
    <col width="9.109375" bestFit="1" customWidth="1" style="3" min="14358" max="14362"/>
    <col width="8.77734375" customWidth="1" style="3" min="14363" max="14595"/>
    <col width="4.33203125" customWidth="1" style="3" min="14596" max="14596"/>
    <col width="4" customWidth="1" style="3" min="14597" max="14597"/>
    <col width="4.109375" customWidth="1" style="3" min="14598" max="14598"/>
    <col width="8" customWidth="1" style="3" min="14599" max="14599"/>
    <col width="8.109375" customWidth="1" style="3" min="14600" max="14601"/>
    <col width="9.109375" customWidth="1" style="3" min="14602" max="14602"/>
    <col width="8.77734375" customWidth="1" style="3" min="14603" max="14603"/>
    <col width="6.44140625" customWidth="1" style="3" min="14604" max="14604"/>
    <col width="26.109375" customWidth="1" style="3" min="14605" max="14605"/>
    <col width="7.109375" customWidth="1" style="3" min="14606" max="14606"/>
    <col width="11.109375" customWidth="1" style="3" min="14607" max="14607"/>
    <col width="5.109375" bestFit="1" customWidth="1" style="3" min="14608" max="14608"/>
    <col width="8.77734375" customWidth="1" style="3" min="14609" max="14612"/>
    <col width="7.44140625" bestFit="1" customWidth="1" style="3" min="14613" max="14613"/>
    <col width="9.109375" bestFit="1" customWidth="1" style="3" min="14614" max="14618"/>
    <col width="8.77734375" customWidth="1" style="3" min="14619" max="14851"/>
    <col width="4.33203125" customWidth="1" style="3" min="14852" max="14852"/>
    <col width="4" customWidth="1" style="3" min="14853" max="14853"/>
    <col width="4.109375" customWidth="1" style="3" min="14854" max="14854"/>
    <col width="8" customWidth="1" style="3" min="14855" max="14855"/>
    <col width="8.109375" customWidth="1" style="3" min="14856" max="14857"/>
    <col width="9.109375" customWidth="1" style="3" min="14858" max="14858"/>
    <col width="8.77734375" customWidth="1" style="3" min="14859" max="14859"/>
    <col width="6.44140625" customWidth="1" style="3" min="14860" max="14860"/>
    <col width="26.109375" customWidth="1" style="3" min="14861" max="14861"/>
    <col width="7.109375" customWidth="1" style="3" min="14862" max="14862"/>
    <col width="11.109375" customWidth="1" style="3" min="14863" max="14863"/>
    <col width="5.109375" bestFit="1" customWidth="1" style="3" min="14864" max="14864"/>
    <col width="8.77734375" customWidth="1" style="3" min="14865" max="14868"/>
    <col width="7.44140625" bestFit="1" customWidth="1" style="3" min="14869" max="14869"/>
    <col width="9.109375" bestFit="1" customWidth="1" style="3" min="14870" max="14874"/>
    <col width="8.77734375" customWidth="1" style="3" min="14875" max="15107"/>
    <col width="4.33203125" customWidth="1" style="3" min="15108" max="15108"/>
    <col width="4" customWidth="1" style="3" min="15109" max="15109"/>
    <col width="4.109375" customWidth="1" style="3" min="15110" max="15110"/>
    <col width="8" customWidth="1" style="3" min="15111" max="15111"/>
    <col width="8.109375" customWidth="1" style="3" min="15112" max="15113"/>
    <col width="9.109375" customWidth="1" style="3" min="15114" max="15114"/>
    <col width="8.77734375" customWidth="1" style="3" min="15115" max="15115"/>
    <col width="6.44140625" customWidth="1" style="3" min="15116" max="15116"/>
    <col width="26.109375" customWidth="1" style="3" min="15117" max="15117"/>
    <col width="7.109375" customWidth="1" style="3" min="15118" max="15118"/>
    <col width="11.109375" customWidth="1" style="3" min="15119" max="15119"/>
    <col width="5.109375" bestFit="1" customWidth="1" style="3" min="15120" max="15120"/>
    <col width="8.77734375" customWidth="1" style="3" min="15121" max="15124"/>
    <col width="7.44140625" bestFit="1" customWidth="1" style="3" min="15125" max="15125"/>
    <col width="9.109375" bestFit="1" customWidth="1" style="3" min="15126" max="15130"/>
    <col width="8.77734375" customWidth="1" style="3" min="15131" max="15363"/>
    <col width="4.33203125" customWidth="1" style="3" min="15364" max="15364"/>
    <col width="4" customWidth="1" style="3" min="15365" max="15365"/>
    <col width="4.109375" customWidth="1" style="3" min="15366" max="15366"/>
    <col width="8" customWidth="1" style="3" min="15367" max="15367"/>
    <col width="8.109375" customWidth="1" style="3" min="15368" max="15369"/>
    <col width="9.109375" customWidth="1" style="3" min="15370" max="15370"/>
    <col width="8.77734375" customWidth="1" style="3" min="15371" max="15371"/>
    <col width="6.44140625" customWidth="1" style="3" min="15372" max="15372"/>
    <col width="26.109375" customWidth="1" style="3" min="15373" max="15373"/>
    <col width="7.109375" customWidth="1" style="3" min="15374" max="15374"/>
    <col width="11.109375" customWidth="1" style="3" min="15375" max="15375"/>
    <col width="5.109375" bestFit="1" customWidth="1" style="3" min="15376" max="15376"/>
    <col width="8.77734375" customWidth="1" style="3" min="15377" max="15380"/>
    <col width="7.44140625" bestFit="1" customWidth="1" style="3" min="15381" max="15381"/>
    <col width="9.109375" bestFit="1" customWidth="1" style="3" min="15382" max="15386"/>
    <col width="8.77734375" customWidth="1" style="3" min="15387" max="15619"/>
    <col width="4.33203125" customWidth="1" style="3" min="15620" max="15620"/>
    <col width="4" customWidth="1" style="3" min="15621" max="15621"/>
    <col width="4.109375" customWidth="1" style="3" min="15622" max="15622"/>
    <col width="8" customWidth="1" style="3" min="15623" max="15623"/>
    <col width="8.109375" customWidth="1" style="3" min="15624" max="15625"/>
    <col width="9.109375" customWidth="1" style="3" min="15626" max="15626"/>
    <col width="8.77734375" customWidth="1" style="3" min="15627" max="15627"/>
    <col width="6.44140625" customWidth="1" style="3" min="15628" max="15628"/>
    <col width="26.109375" customWidth="1" style="3" min="15629" max="15629"/>
    <col width="7.109375" customWidth="1" style="3" min="15630" max="15630"/>
    <col width="11.109375" customWidth="1" style="3" min="15631" max="15631"/>
    <col width="5.109375" bestFit="1" customWidth="1" style="3" min="15632" max="15632"/>
    <col width="8.77734375" customWidth="1" style="3" min="15633" max="15636"/>
    <col width="7.44140625" bestFit="1" customWidth="1" style="3" min="15637" max="15637"/>
    <col width="9.109375" bestFit="1" customWidth="1" style="3" min="15638" max="15642"/>
    <col width="8.77734375" customWidth="1" style="3" min="15643" max="15875"/>
    <col width="4.33203125" customWidth="1" style="3" min="15876" max="15876"/>
    <col width="4" customWidth="1" style="3" min="15877" max="15877"/>
    <col width="4.109375" customWidth="1" style="3" min="15878" max="15878"/>
    <col width="8" customWidth="1" style="3" min="15879" max="15879"/>
    <col width="8.109375" customWidth="1" style="3" min="15880" max="15881"/>
    <col width="9.109375" customWidth="1" style="3" min="15882" max="15882"/>
    <col width="8.77734375" customWidth="1" style="3" min="15883" max="15883"/>
    <col width="6.44140625" customWidth="1" style="3" min="15884" max="15884"/>
    <col width="26.109375" customWidth="1" style="3" min="15885" max="15885"/>
    <col width="7.109375" customWidth="1" style="3" min="15886" max="15886"/>
    <col width="11.109375" customWidth="1" style="3" min="15887" max="15887"/>
    <col width="5.109375" bestFit="1" customWidth="1" style="3" min="15888" max="15888"/>
    <col width="8.77734375" customWidth="1" style="3" min="15889" max="15892"/>
    <col width="7.44140625" bestFit="1" customWidth="1" style="3" min="15893" max="15893"/>
    <col width="9.109375" bestFit="1" customWidth="1" style="3" min="15894" max="15898"/>
    <col width="8.77734375" customWidth="1" style="3" min="15899" max="16131"/>
    <col width="4.33203125" customWidth="1" style="3" min="16132" max="16132"/>
    <col width="4" customWidth="1" style="3" min="16133" max="16133"/>
    <col width="4.109375" customWidth="1" style="3" min="16134" max="16134"/>
    <col width="8" customWidth="1" style="3" min="16135" max="16135"/>
    <col width="8.109375" customWidth="1" style="3" min="16136" max="16137"/>
    <col width="9.109375" customWidth="1" style="3" min="16138" max="16138"/>
    <col width="8.77734375" customWidth="1" style="3" min="16139" max="16139"/>
    <col width="6.44140625" customWidth="1" style="3" min="16140" max="16140"/>
    <col width="26.109375" customWidth="1" style="3" min="16141" max="16141"/>
    <col width="7.109375" customWidth="1" style="3" min="16142" max="16142"/>
    <col width="11.109375" customWidth="1" style="3" min="16143" max="16143"/>
    <col width="5.109375" bestFit="1" customWidth="1" style="3" min="16144" max="16144"/>
    <col width="8.77734375" customWidth="1" style="3" min="16145" max="16148"/>
    <col width="7.44140625" bestFit="1" customWidth="1" style="3" min="16149" max="16149"/>
    <col width="9.109375" bestFit="1" customWidth="1" style="3" min="16150" max="16154"/>
    <col width="8.77734375" customWidth="1" style="3" min="16155" max="16384"/>
  </cols>
  <sheetData>
    <row r="1" ht="25.05" customFormat="1" customHeight="1" s="74">
      <c r="A1" s="144" t="inlineStr">
        <is>
          <t>会社名</t>
        </is>
      </c>
      <c r="B1" s="145" t="n"/>
      <c r="C1" s="145" t="n"/>
      <c r="D1" s="145" t="inlineStr">
        <is>
          <t>ＭＳＲ</t>
        </is>
      </c>
      <c r="E1" s="146" t="n"/>
      <c r="F1" s="146" t="n"/>
      <c r="G1" s="146" t="n"/>
      <c r="H1" s="146" t="n"/>
      <c r="I1" s="146" t="n"/>
      <c r="J1" s="146" t="n"/>
      <c r="O1" s="202" t="n"/>
    </row>
    <row r="2" ht="25.05" customFormat="1" customHeight="1" s="74">
      <c r="A2" s="144" t="inlineStr">
        <is>
          <t>ご担当者名</t>
        </is>
      </c>
      <c r="B2" s="147" t="n"/>
      <c r="C2" s="147" t="n"/>
      <c r="D2" s="147" t="inlineStr">
        <is>
          <t>:鈴木一郎</t>
        </is>
      </c>
      <c r="E2" s="147" t="n"/>
      <c r="F2" s="147" t="n"/>
      <c r="G2" s="147" t="n"/>
      <c r="H2" s="147" t="n"/>
      <c r="I2" s="147" t="n"/>
      <c r="J2" s="147" t="inlineStr">
        <is>
          <t>様</t>
        </is>
      </c>
    </row>
    <row r="3" ht="25.05" customFormat="1" customHeight="1" s="74"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202" t="n"/>
    </row>
    <row r="4" ht="25.05" customFormat="1" customHeight="1" s="74">
      <c r="A4" s="234" t="n">
        <v>45292</v>
      </c>
      <c r="U4" s="80" t="n"/>
      <c r="V4" s="80" t="n"/>
      <c r="W4" s="80" t="n"/>
      <c r="X4" s="80" t="n"/>
      <c r="Y4" s="80" t="n"/>
      <c r="Z4" s="80" t="n"/>
      <c r="AA4" s="80" t="n"/>
      <c r="AB4" s="80" t="n"/>
    </row>
    <row r="5" ht="25.05" customFormat="1" customHeight="1" s="74">
      <c r="I5" s="77" t="n"/>
      <c r="J5" s="77" t="n"/>
      <c r="L5" s="202" t="n"/>
    </row>
    <row r="6" ht="25.05" customFormat="1" customHeight="1" s="74">
      <c r="I6" s="77" t="n"/>
      <c r="J6" s="77" t="n"/>
      <c r="Q6" s="74" t="inlineStr">
        <is>
          <t>ＮＣＤソリューションズ株式会社</t>
        </is>
      </c>
    </row>
    <row r="7" ht="25.05" customFormat="1" customHeight="1" s="74">
      <c r="A7" s="144" t="inlineStr">
        <is>
          <t>注文No.</t>
        </is>
      </c>
      <c r="B7" s="147" t="n"/>
      <c r="C7" s="147" t="n"/>
      <c r="D7" s="147" t="inlineStr">
        <is>
          <t xml:space="preserve">：　</t>
        </is>
      </c>
      <c r="E7" s="147" t="inlineStr">
        <is>
          <t>A56-0302</t>
        </is>
      </c>
      <c r="F7" s="147" t="n"/>
      <c r="G7" s="147" t="n"/>
      <c r="H7" s="147" t="n"/>
      <c r="I7" s="147" t="n"/>
      <c r="J7" s="147" t="n"/>
      <c r="K7" s="147" t="n"/>
      <c r="L7" s="148" t="n"/>
      <c r="M7" s="149" t="n"/>
      <c r="R7" s="74" t="inlineStr">
        <is>
          <t>業務担当者：佐藤花子</t>
        </is>
      </c>
    </row>
    <row r="8" ht="25.05" customFormat="1" customHeight="1" s="74">
      <c r="A8" s="150" t="inlineStr">
        <is>
          <t>件名</t>
        </is>
      </c>
      <c r="B8" s="151" t="n"/>
      <c r="C8" s="151" t="n"/>
      <c r="D8" s="151" t="inlineStr">
        <is>
          <t>：</t>
        </is>
      </c>
      <c r="E8" s="151" t="inlineStr">
        <is>
          <t>2023年度第2四半期「情報漏洩防止サービス」ほかFinder提供サービスの運用に関する業務支援</t>
        </is>
      </c>
      <c r="F8" s="151" t="n"/>
      <c r="G8" s="151" t="n"/>
      <c r="H8" s="151" t="n"/>
      <c r="I8" s="151" t="n"/>
      <c r="J8" s="151" t="n"/>
      <c r="K8" s="151" t="n"/>
      <c r="L8" s="151" t="n"/>
      <c r="M8" s="152" t="n"/>
      <c r="P8" s="78" t="n"/>
      <c r="U8" s="79" t="n"/>
      <c r="V8" s="79" t="n"/>
      <c r="Y8" s="79" t="n"/>
      <c r="Z8" s="79" t="n"/>
      <c r="AA8" s="79" t="n"/>
      <c r="AB8" s="79" t="n"/>
    </row>
    <row r="9" ht="25.05" customFormat="1" customHeight="1" s="74">
      <c r="A9" s="144" t="inlineStr">
        <is>
          <t>作業期間</t>
        </is>
      </c>
      <c r="B9" s="145" t="n"/>
      <c r="C9" s="145" t="n"/>
      <c r="D9" s="145" t="inlineStr">
        <is>
          <t>：</t>
        </is>
      </c>
      <c r="E9" s="145" t="inlineStr">
        <is>
          <t>2023/07/01～2023/09/30</t>
        </is>
      </c>
      <c r="F9" s="145" t="n"/>
      <c r="G9" s="145" t="n"/>
      <c r="H9" s="145" t="n"/>
      <c r="I9" s="145" t="n"/>
      <c r="J9" s="145" t="n"/>
      <c r="K9" s="145" t="n"/>
      <c r="L9" s="145" t="n"/>
      <c r="M9" s="152" t="n"/>
    </row>
    <row r="10" ht="25.05" customFormat="1" customHeight="1" s="74">
      <c r="A10" s="144" t="inlineStr">
        <is>
          <t>提出年月日</t>
        </is>
      </c>
      <c r="B10" s="145" t="n"/>
      <c r="C10" s="145" t="n"/>
      <c r="D10" s="147" t="inlineStr">
        <is>
          <t>：</t>
        </is>
      </c>
      <c r="E10" s="153" t="n">
        <v>2025</v>
      </c>
      <c r="F10" s="153" t="inlineStr">
        <is>
          <t>年</t>
        </is>
      </c>
      <c r="G10" s="154" t="n">
        <v>11</v>
      </c>
      <c r="H10" s="154" t="inlineStr">
        <is>
          <t>月</t>
        </is>
      </c>
      <c r="I10" s="154" t="n">
        <v>14</v>
      </c>
      <c r="J10" s="154" t="inlineStr">
        <is>
          <t>日</t>
        </is>
      </c>
      <c r="K10" s="154" t="n"/>
      <c r="L10" s="154" t="n"/>
      <c r="M10" s="152" t="n"/>
    </row>
    <row r="11" ht="19.5" customHeight="1" s="235">
      <c r="G11" s="236" t="n"/>
      <c r="H11" s="236" t="n"/>
      <c r="I11" s="236" t="n"/>
      <c r="J11" s="236" t="n"/>
      <c r="K11" s="236" t="n"/>
      <c r="L11" s="236" t="n"/>
      <c r="M11" s="236" t="n"/>
      <c r="N11" s="38" t="n"/>
      <c r="O11" s="38" t="n"/>
      <c r="P11" s="38" t="n"/>
      <c r="Q11" s="74" t="n"/>
      <c r="R11" s="74" t="n"/>
      <c r="S11" s="74" t="n"/>
      <c r="T11" s="74" t="n"/>
      <c r="W11" s="23" t="inlineStr">
        <is>
          <t>標準時間</t>
        </is>
      </c>
      <c r="X11" s="3">
        <f>#REF!*7.5</f>
        <v/>
      </c>
      <c r="Y11" s="23" t="inlineStr">
        <is>
          <t>下限</t>
        </is>
      </c>
      <c r="Z11" s="3">
        <f>X11-20</f>
        <v/>
      </c>
      <c r="AA11" s="23" t="inlineStr">
        <is>
          <t>上限</t>
        </is>
      </c>
      <c r="AB11" s="3">
        <f>X11+20</f>
        <v/>
      </c>
    </row>
    <row r="12" ht="19.95" customHeight="1" s="235">
      <c r="E12" s="237" t="n"/>
      <c r="F12" s="237" t="n"/>
      <c r="G12" s="237" t="n"/>
      <c r="H12" s="237" t="n"/>
      <c r="I12" s="238" t="n"/>
      <c r="J12" s="238" t="n"/>
      <c r="K12" s="238" t="n"/>
      <c r="L12" s="238" t="n"/>
      <c r="M12" s="238" t="n"/>
      <c r="N12" s="239" t="n"/>
      <c r="O12" s="239" t="n"/>
      <c r="P12" s="239" t="n"/>
      <c r="Q12" s="74" t="n"/>
      <c r="R12" s="74" t="n"/>
      <c r="S12" s="74" t="n"/>
      <c r="T12" s="74" t="n"/>
      <c r="W12" s="23" t="inlineStr">
        <is>
          <t>勤務日数</t>
        </is>
      </c>
      <c r="X12" s="3">
        <f>COUNTA(E17:E47)</f>
        <v/>
      </c>
    </row>
    <row r="13" ht="19.95" customHeight="1" s="235">
      <c r="B13" s="128" t="inlineStr">
        <is>
          <t>下記のとおり作業時間をご報告いたします。</t>
        </is>
      </c>
      <c r="C13" s="128" t="n"/>
      <c r="D13" s="128" t="n"/>
      <c r="E13" s="128" t="n"/>
      <c r="F13" s="128" t="n"/>
      <c r="G13" s="128" t="n"/>
      <c r="H13" s="128" t="n"/>
      <c r="M13" s="39" t="n"/>
      <c r="N13" s="8" t="n"/>
      <c r="O13" s="8" t="n"/>
      <c r="P13" s="8" t="n"/>
      <c r="Q13" s="74" t="n"/>
      <c r="R13" s="74" t="n"/>
      <c r="S13" s="74" t="n"/>
      <c r="T13" s="74" t="n"/>
      <c r="W13" s="23" t="inlineStr">
        <is>
          <t>深夜勤務</t>
        </is>
      </c>
      <c r="X13" s="70" t="n">
        <v>0.9166666666666666</v>
      </c>
      <c r="Y13" s="23" t="inlineStr">
        <is>
          <t>開始</t>
        </is>
      </c>
      <c r="Z13" s="240" t="n">
        <v>1.208333333333333</v>
      </c>
      <c r="AA13" s="23" t="inlineStr">
        <is>
          <t>終了</t>
        </is>
      </c>
    </row>
    <row r="14" ht="43.8" customHeight="1" s="235">
      <c r="B14" s="129" t="inlineStr">
        <is>
          <t>担当者：</t>
        </is>
      </c>
      <c r="C14" s="128" t="n"/>
      <c r="D14" s="198" t="inlineStr">
        <is>
          <t>藤原　健太</t>
        </is>
      </c>
      <c r="E14" s="241" t="n"/>
      <c r="F14" s="241" t="n"/>
      <c r="G14" s="241" t="n"/>
      <c r="H14" s="130" t="n"/>
      <c r="M14" s="39" t="n"/>
      <c r="N14" s="8" t="n"/>
      <c r="O14" s="8" t="n"/>
      <c r="P14" s="8" t="n"/>
      <c r="Q14" s="74" t="n"/>
      <c r="R14" s="74" t="n"/>
      <c r="S14" s="74" t="n"/>
      <c r="T14" s="74" t="n"/>
    </row>
    <row r="15" ht="15" customHeight="1" s="235">
      <c r="E15" s="242" t="n"/>
      <c r="F15" s="243" t="n"/>
      <c r="N15" s="8" t="n"/>
      <c r="O15" s="8" t="n"/>
      <c r="P15" s="8" t="n"/>
      <c r="Q15" s="8" t="n"/>
      <c r="R15" s="8" t="n"/>
      <c r="S15" s="8" t="n"/>
      <c r="T15" s="9" t="n"/>
    </row>
    <row r="16" ht="28.5" customHeight="1" s="235">
      <c r="A16" s="155" t="inlineStr">
        <is>
          <t>月</t>
        </is>
      </c>
      <c r="B16" s="156" t="inlineStr">
        <is>
          <t>日</t>
        </is>
      </c>
      <c r="C16" s="156" t="inlineStr">
        <is>
          <t>曜日</t>
        </is>
      </c>
      <c r="D16" s="157" t="inlineStr">
        <is>
          <t>区分</t>
        </is>
      </c>
      <c r="E16" s="156" t="inlineStr">
        <is>
          <t>開 始</t>
        </is>
      </c>
      <c r="F16" s="158" t="inlineStr">
        <is>
          <t>終 了</t>
        </is>
      </c>
      <c r="G16" s="159" t="inlineStr">
        <is>
          <t>休憩
時間</t>
        </is>
      </c>
      <c r="H16" s="160" t="inlineStr">
        <is>
          <t>作業
時間</t>
        </is>
      </c>
      <c r="I16" s="159" t="inlineStr">
        <is>
          <t>標準
時間</t>
        </is>
      </c>
      <c r="J16" s="157" t="inlineStr">
        <is>
          <t>標準外
時間</t>
        </is>
      </c>
      <c r="K16" s="157" t="inlineStr">
        <is>
          <t>深夜
時間</t>
        </is>
      </c>
      <c r="L16" s="160" t="inlineStr">
        <is>
          <t>休日
時間</t>
        </is>
      </c>
      <c r="M16" s="182" t="inlineStr">
        <is>
          <t>作業内容</t>
        </is>
      </c>
      <c r="N16" s="244" t="n"/>
      <c r="O16" s="244" t="n"/>
      <c r="P16" s="244" t="n"/>
      <c r="Q16" s="244" t="n"/>
      <c r="R16" s="244" t="n"/>
      <c r="S16" s="244" t="n"/>
      <c r="T16" s="245" t="n"/>
      <c r="U16" s="16" t="inlineStr">
        <is>
          <t>休み</t>
        </is>
      </c>
      <c r="W16" s="23" t="inlineStr">
        <is>
          <t>会議</t>
        </is>
      </c>
    </row>
    <row r="17" ht="19.95" customHeight="1" s="235">
      <c r="A17" s="246" t="inlineStr">
        <is>
          <t>9</t>
        </is>
      </c>
      <c r="B17" s="247" t="n">
        <v>1</v>
      </c>
      <c r="C17" s="248" t="inlineStr">
        <is>
          <t>月</t>
        </is>
      </c>
      <c r="D17" s="249" t="inlineStr">
        <is>
          <t>稼働</t>
        </is>
      </c>
      <c r="E17" s="250" t="inlineStr">
        <is>
          <t>08:30</t>
        </is>
      </c>
      <c r="F17" s="251" t="inlineStr">
        <is>
          <t>19:56</t>
        </is>
      </c>
      <c r="G17" s="252" t="inlineStr">
        <is>
          <t>01:00</t>
        </is>
      </c>
      <c r="H17" s="253" t="inlineStr">
        <is>
          <t>10:26</t>
        </is>
      </c>
      <c r="I17" s="252" t="inlineStr">
        <is>
          <t>08:00</t>
        </is>
      </c>
      <c r="J17" s="254" t="inlineStr">
        <is>
          <t>02:26</t>
        </is>
      </c>
      <c r="K17" s="254" t="inlineStr"/>
      <c r="L17" s="253" t="inlineStr"/>
      <c r="M17" s="185" t="n"/>
      <c r="N17" s="255" t="n"/>
      <c r="O17" s="255" t="n"/>
      <c r="P17" s="255" t="n"/>
      <c r="Q17" s="255" t="n"/>
      <c r="R17" s="255" t="n"/>
      <c r="S17" s="255" t="n"/>
      <c r="T17" s="256" t="n"/>
      <c r="U17" s="48" t="inlineStr"/>
      <c r="V17" s="257" t="inlineStr">
        <is>
          <t>要確認！課金工数がありません。</t>
        </is>
      </c>
      <c r="W17" s="72" t="n"/>
      <c r="X17" s="72" t="n"/>
      <c r="Y17" s="72" t="n"/>
      <c r="Z17" s="72" t="n"/>
    </row>
    <row r="18" ht="19.95" customHeight="1" s="235">
      <c r="A18" s="258" t="inlineStr"/>
      <c r="B18" s="259" t="n">
        <v>1</v>
      </c>
      <c r="C18" s="260" t="inlineStr">
        <is>
          <t>月</t>
        </is>
      </c>
      <c r="D18" s="261" t="inlineStr">
        <is>
          <t>稼働</t>
        </is>
      </c>
      <c r="E18" s="262" t="inlineStr">
        <is>
          <t>08:30</t>
        </is>
      </c>
      <c r="F18" s="263" t="inlineStr">
        <is>
          <t>19:56</t>
        </is>
      </c>
      <c r="G18" s="264" t="inlineStr">
        <is>
          <t>01:00</t>
        </is>
      </c>
      <c r="H18" s="265" t="inlineStr">
        <is>
          <t>10:26</t>
        </is>
      </c>
      <c r="I18" s="266" t="inlineStr">
        <is>
          <t>08:00</t>
        </is>
      </c>
      <c r="J18" s="267" t="inlineStr">
        <is>
          <t>02:26</t>
        </is>
      </c>
      <c r="K18" s="267" t="inlineStr"/>
      <c r="L18" s="265" t="inlineStr"/>
      <c r="M18" s="173" t="n"/>
      <c r="N18" s="268" t="n"/>
      <c r="O18" s="268" t="n"/>
      <c r="P18" s="268" t="n"/>
      <c r="Q18" s="268" t="n"/>
      <c r="R18" s="268" t="n"/>
      <c r="S18" s="268" t="n"/>
      <c r="T18" s="269" t="n"/>
      <c r="U18" s="48" t="inlineStr"/>
      <c r="V18" s="257" t="inlineStr">
        <is>
          <t>要確認！課金工数がありません。</t>
        </is>
      </c>
      <c r="W18" s="72" t="n"/>
      <c r="X18" s="72" t="n"/>
      <c r="Y18" s="72" t="n"/>
      <c r="Z18" s="72" t="n"/>
    </row>
    <row r="19" ht="19.95" customHeight="1" s="235">
      <c r="A19" s="258" t="inlineStr"/>
      <c r="B19" s="259" t="n">
        <v>1</v>
      </c>
      <c r="C19" s="260" t="inlineStr">
        <is>
          <t>月</t>
        </is>
      </c>
      <c r="D19" s="261" t="inlineStr">
        <is>
          <t>稼働</t>
        </is>
      </c>
      <c r="E19" s="262" t="inlineStr">
        <is>
          <t>08:30</t>
        </is>
      </c>
      <c r="F19" s="263" t="inlineStr">
        <is>
          <t>19:56</t>
        </is>
      </c>
      <c r="G19" s="266" t="inlineStr">
        <is>
          <t>01:00</t>
        </is>
      </c>
      <c r="H19" s="265" t="inlineStr">
        <is>
          <t>10:26</t>
        </is>
      </c>
      <c r="I19" s="266" t="inlineStr">
        <is>
          <t>08:00</t>
        </is>
      </c>
      <c r="J19" s="267" t="inlineStr">
        <is>
          <t>02:26</t>
        </is>
      </c>
      <c r="K19" s="267" t="inlineStr"/>
      <c r="L19" s="265" t="inlineStr"/>
      <c r="M19" s="173" t="n"/>
      <c r="N19" s="268" t="n"/>
      <c r="O19" s="268" t="n"/>
      <c r="P19" s="268" t="n"/>
      <c r="Q19" s="268" t="n"/>
      <c r="R19" s="268" t="n"/>
      <c r="S19" s="268" t="n"/>
      <c r="T19" s="269" t="n"/>
      <c r="U19" s="48" t="inlineStr"/>
      <c r="V19" s="257" t="inlineStr">
        <is>
          <t>要確認！課金工数がありません。</t>
        </is>
      </c>
      <c r="W19" s="72" t="n"/>
      <c r="X19" s="72" t="n"/>
      <c r="Y19" s="72" t="n"/>
      <c r="Z19" s="72" t="n"/>
    </row>
    <row r="20" ht="19.95" customHeight="1" s="235">
      <c r="A20" s="258" t="inlineStr"/>
      <c r="B20" s="259" t="n">
        <v>1</v>
      </c>
      <c r="C20" s="260" t="inlineStr">
        <is>
          <t>月</t>
        </is>
      </c>
      <c r="D20" s="261" t="inlineStr">
        <is>
          <t>稼働</t>
        </is>
      </c>
      <c r="E20" s="262" t="inlineStr">
        <is>
          <t>08:30</t>
        </is>
      </c>
      <c r="F20" s="263" t="inlineStr">
        <is>
          <t>19:56</t>
        </is>
      </c>
      <c r="G20" s="266" t="inlineStr">
        <is>
          <t>01:00</t>
        </is>
      </c>
      <c r="H20" s="265" t="inlineStr">
        <is>
          <t>10:26</t>
        </is>
      </c>
      <c r="I20" s="266" t="inlineStr">
        <is>
          <t>08:00</t>
        </is>
      </c>
      <c r="J20" s="267" t="inlineStr">
        <is>
          <t>02:26</t>
        </is>
      </c>
      <c r="K20" s="267" t="inlineStr"/>
      <c r="L20" s="265" t="inlineStr"/>
      <c r="M20" s="173" t="n"/>
      <c r="N20" s="268" t="n"/>
      <c r="O20" s="268" t="n"/>
      <c r="P20" s="268" t="n"/>
      <c r="Q20" s="268" t="n"/>
      <c r="R20" s="268" t="n"/>
      <c r="S20" s="268" t="n"/>
      <c r="T20" s="269" t="n"/>
      <c r="U20" s="48" t="inlineStr"/>
      <c r="V20" s="257" t="inlineStr">
        <is>
          <t>要確認！課金工数がありません。</t>
        </is>
      </c>
      <c r="W20" s="72" t="n"/>
      <c r="X20" s="72" t="n"/>
      <c r="Y20" s="72" t="n"/>
      <c r="Z20" s="72" t="n"/>
    </row>
    <row r="21" ht="19.95" customHeight="1" s="235">
      <c r="A21" s="258" t="inlineStr"/>
      <c r="B21" s="259" t="n">
        <v>1</v>
      </c>
      <c r="C21" s="260" t="inlineStr">
        <is>
          <t>月</t>
        </is>
      </c>
      <c r="D21" s="261" t="inlineStr">
        <is>
          <t>稼働</t>
        </is>
      </c>
      <c r="E21" s="262" t="inlineStr">
        <is>
          <t>08:30</t>
        </is>
      </c>
      <c r="F21" s="263" t="inlineStr">
        <is>
          <t>19:56</t>
        </is>
      </c>
      <c r="G21" s="266" t="inlineStr">
        <is>
          <t>01:00</t>
        </is>
      </c>
      <c r="H21" s="265" t="inlineStr">
        <is>
          <t>10:26</t>
        </is>
      </c>
      <c r="I21" s="266" t="inlineStr">
        <is>
          <t>08:00</t>
        </is>
      </c>
      <c r="J21" s="267" t="inlineStr">
        <is>
          <t>02:26</t>
        </is>
      </c>
      <c r="K21" s="267" t="inlineStr"/>
      <c r="L21" s="265" t="inlineStr"/>
      <c r="M21" s="173" t="n"/>
      <c r="N21" s="268" t="n"/>
      <c r="O21" s="268" t="n"/>
      <c r="P21" s="268" t="n"/>
      <c r="Q21" s="268" t="n"/>
      <c r="R21" s="268" t="n"/>
      <c r="S21" s="268" t="n"/>
      <c r="T21" s="269" t="n"/>
      <c r="U21" s="48" t="inlineStr"/>
      <c r="V21" s="257" t="inlineStr">
        <is>
          <t>要確認！課金工数がありません。</t>
        </is>
      </c>
      <c r="W21" s="72" t="n"/>
      <c r="X21" s="72" t="n"/>
      <c r="Y21" s="72" t="n"/>
      <c r="Z21" s="72" t="n"/>
    </row>
    <row r="22" ht="19.95" customHeight="1" s="235">
      <c r="A22" s="258" t="inlineStr"/>
      <c r="B22" s="259" t="n">
        <v>1</v>
      </c>
      <c r="C22" s="260" t="inlineStr">
        <is>
          <t>月</t>
        </is>
      </c>
      <c r="D22" s="261" t="inlineStr">
        <is>
          <t>稼働</t>
        </is>
      </c>
      <c r="E22" s="262" t="inlineStr">
        <is>
          <t>08:30</t>
        </is>
      </c>
      <c r="F22" s="263" t="inlineStr">
        <is>
          <t>19:56</t>
        </is>
      </c>
      <c r="G22" s="266" t="inlineStr">
        <is>
          <t>01:00</t>
        </is>
      </c>
      <c r="H22" s="265" t="inlineStr">
        <is>
          <t>10:26</t>
        </is>
      </c>
      <c r="I22" s="266" t="inlineStr">
        <is>
          <t>08:00</t>
        </is>
      </c>
      <c r="J22" s="267" t="inlineStr">
        <is>
          <t>02:26</t>
        </is>
      </c>
      <c r="K22" s="267" t="inlineStr"/>
      <c r="L22" s="265" t="inlineStr"/>
      <c r="M22" s="173" t="n"/>
      <c r="N22" s="268" t="n"/>
      <c r="O22" s="268" t="n"/>
      <c r="P22" s="268" t="n"/>
      <c r="Q22" s="268" t="n"/>
      <c r="R22" s="268" t="n"/>
      <c r="S22" s="268" t="n"/>
      <c r="T22" s="269" t="n"/>
      <c r="U22" s="48" t="inlineStr"/>
      <c r="V22" s="257" t="inlineStr">
        <is>
          <t>要確認！課金工数がありません。</t>
        </is>
      </c>
      <c r="W22" s="72" t="n"/>
      <c r="X22" s="72" t="n"/>
      <c r="Y22" s="72" t="n"/>
      <c r="Z22" s="72" t="n"/>
    </row>
    <row r="23" ht="19.95" customHeight="1" s="235">
      <c r="A23" s="258" t="inlineStr"/>
      <c r="B23" s="259" t="n">
        <v>1</v>
      </c>
      <c r="C23" s="260" t="inlineStr">
        <is>
          <t>月</t>
        </is>
      </c>
      <c r="D23" s="261" t="inlineStr">
        <is>
          <t>稼働</t>
        </is>
      </c>
      <c r="E23" s="262" t="inlineStr">
        <is>
          <t>08:30</t>
        </is>
      </c>
      <c r="F23" s="263" t="inlineStr">
        <is>
          <t>19:56</t>
        </is>
      </c>
      <c r="G23" s="266" t="inlineStr">
        <is>
          <t>01:00</t>
        </is>
      </c>
      <c r="H23" s="265" t="inlineStr">
        <is>
          <t>10:26</t>
        </is>
      </c>
      <c r="I23" s="266" t="inlineStr">
        <is>
          <t>08:00</t>
        </is>
      </c>
      <c r="J23" s="267" t="inlineStr">
        <is>
          <t>02:26</t>
        </is>
      </c>
      <c r="K23" s="267" t="inlineStr"/>
      <c r="L23" s="265" t="inlineStr"/>
      <c r="M23" s="173" t="n"/>
      <c r="N23" s="268" t="n"/>
      <c r="O23" s="268" t="n"/>
      <c r="P23" s="268" t="n"/>
      <c r="Q23" s="268" t="n"/>
      <c r="R23" s="268" t="n"/>
      <c r="S23" s="268" t="n"/>
      <c r="T23" s="269" t="n"/>
      <c r="U23" s="48" t="inlineStr"/>
      <c r="V23" s="257" t="inlineStr">
        <is>
          <t>要確認！課金工数がありません。</t>
        </is>
      </c>
      <c r="W23" s="72" t="n"/>
      <c r="X23" s="72" t="n"/>
      <c r="Y23" s="72" t="n"/>
      <c r="Z23" s="72" t="n"/>
    </row>
    <row r="24" ht="19.95" customHeight="1" s="235">
      <c r="A24" s="139" t="inlineStr"/>
      <c r="B24" s="259" t="n">
        <v>1</v>
      </c>
      <c r="C24" s="260" t="inlineStr">
        <is>
          <t>月</t>
        </is>
      </c>
      <c r="D24" s="261" t="inlineStr">
        <is>
          <t>稼働</t>
        </is>
      </c>
      <c r="E24" s="262" t="inlineStr">
        <is>
          <t>08:30</t>
        </is>
      </c>
      <c r="F24" s="263" t="inlineStr">
        <is>
          <t>19:56</t>
        </is>
      </c>
      <c r="G24" s="266" t="inlineStr">
        <is>
          <t>01:00</t>
        </is>
      </c>
      <c r="H24" s="265" t="inlineStr">
        <is>
          <t>10:26</t>
        </is>
      </c>
      <c r="I24" s="266" t="inlineStr">
        <is>
          <t>08:00</t>
        </is>
      </c>
      <c r="J24" s="267" t="inlineStr">
        <is>
          <t>02:26</t>
        </is>
      </c>
      <c r="K24" s="267" t="inlineStr"/>
      <c r="L24" s="265" t="inlineStr"/>
      <c r="M24" s="173" t="n"/>
      <c r="N24" s="268" t="n"/>
      <c r="O24" s="268" t="n"/>
      <c r="P24" s="268" t="n"/>
      <c r="Q24" s="268" t="n"/>
      <c r="R24" s="268" t="n"/>
      <c r="S24" s="268" t="n"/>
      <c r="T24" s="269" t="n"/>
      <c r="U24" s="48" t="inlineStr"/>
      <c r="V24" s="257" t="inlineStr">
        <is>
          <t>要確認！課金工数がありません。</t>
        </is>
      </c>
      <c r="W24" s="72" t="n"/>
      <c r="X24" s="72" t="n"/>
      <c r="Y24" s="72" t="n"/>
      <c r="Z24" s="72" t="n"/>
    </row>
    <row r="25" ht="19.95" customHeight="1" s="235">
      <c r="A25" s="258" t="inlineStr"/>
      <c r="B25" s="259" t="n">
        <v>1</v>
      </c>
      <c r="C25" s="260" t="inlineStr">
        <is>
          <t>月</t>
        </is>
      </c>
      <c r="D25" s="261" t="inlineStr">
        <is>
          <t>稼働</t>
        </is>
      </c>
      <c r="E25" s="262" t="inlineStr">
        <is>
          <t>08:30</t>
        </is>
      </c>
      <c r="F25" s="263" t="inlineStr">
        <is>
          <t>19:56</t>
        </is>
      </c>
      <c r="G25" s="266" t="inlineStr">
        <is>
          <t>01:00</t>
        </is>
      </c>
      <c r="H25" s="265" t="inlineStr">
        <is>
          <t>10:26</t>
        </is>
      </c>
      <c r="I25" s="266" t="inlineStr">
        <is>
          <t>08:00</t>
        </is>
      </c>
      <c r="J25" s="267" t="inlineStr">
        <is>
          <t>02:26</t>
        </is>
      </c>
      <c r="K25" s="267" t="inlineStr"/>
      <c r="L25" s="265" t="inlineStr"/>
      <c r="M25" s="173" t="inlineStr">
        <is>
          <t>15分残業のケース</t>
        </is>
      </c>
      <c r="N25" s="268" t="n"/>
      <c r="O25" s="268" t="n"/>
      <c r="P25" s="268" t="n"/>
      <c r="Q25" s="268" t="n"/>
      <c r="R25" s="268" t="n"/>
      <c r="S25" s="268" t="n"/>
      <c r="T25" s="269" t="n"/>
      <c r="U25" s="48" t="inlineStr"/>
      <c r="V25" s="257" t="inlineStr">
        <is>
          <t>要確認！課金工数がありません。</t>
        </is>
      </c>
      <c r="W25" s="72" t="n"/>
      <c r="X25" s="72" t="n"/>
      <c r="Y25" s="72" t="n"/>
      <c r="Z25" s="72" t="n"/>
    </row>
    <row r="26" ht="19.95" customHeight="1" s="235">
      <c r="A26" s="258" t="inlineStr"/>
      <c r="B26" s="259" t="n">
        <v>1</v>
      </c>
      <c r="C26" s="260" t="inlineStr">
        <is>
          <t>月</t>
        </is>
      </c>
      <c r="D26" s="261" t="inlineStr">
        <is>
          <t>稼働</t>
        </is>
      </c>
      <c r="E26" s="262" t="inlineStr">
        <is>
          <t>08:30</t>
        </is>
      </c>
      <c r="F26" s="263" t="inlineStr">
        <is>
          <t>19:56</t>
        </is>
      </c>
      <c r="G26" s="266" t="inlineStr">
        <is>
          <t>01:00</t>
        </is>
      </c>
      <c r="H26" s="265" t="inlineStr">
        <is>
          <t>10:26</t>
        </is>
      </c>
      <c r="I26" s="266" t="inlineStr">
        <is>
          <t>08:00</t>
        </is>
      </c>
      <c r="J26" s="267" t="inlineStr">
        <is>
          <t>02:26</t>
        </is>
      </c>
      <c r="K26" s="267" t="inlineStr"/>
      <c r="L26" s="265" t="inlineStr"/>
      <c r="M26" s="173" t="inlineStr">
        <is>
          <t>深夜対応のケース</t>
        </is>
      </c>
      <c r="N26" s="268" t="n"/>
      <c r="O26" s="268" t="n"/>
      <c r="P26" s="268" t="n"/>
      <c r="Q26" s="268" t="n"/>
      <c r="R26" s="268" t="n"/>
      <c r="S26" s="268" t="n"/>
      <c r="T26" s="269" t="n"/>
      <c r="U26" s="48" t="inlineStr"/>
      <c r="V26" s="257" t="inlineStr">
        <is>
          <t>要確認！課金工数がありません。</t>
        </is>
      </c>
      <c r="W26" s="72" t="n"/>
      <c r="X26" s="72" t="n"/>
      <c r="Y26" s="72" t="n"/>
      <c r="Z26" s="72" t="n"/>
    </row>
    <row r="27" ht="19.95" customHeight="1" s="235">
      <c r="A27" s="258" t="inlineStr"/>
      <c r="B27" s="259" t="n">
        <v>1</v>
      </c>
      <c r="C27" s="260" t="inlineStr">
        <is>
          <t>月</t>
        </is>
      </c>
      <c r="D27" s="261" t="inlineStr">
        <is>
          <t>稼働</t>
        </is>
      </c>
      <c r="E27" s="262" t="inlineStr">
        <is>
          <t>08:30</t>
        </is>
      </c>
      <c r="F27" s="263" t="inlineStr">
        <is>
          <t>19:56</t>
        </is>
      </c>
      <c r="G27" s="266" t="inlineStr">
        <is>
          <t>01:00</t>
        </is>
      </c>
      <c r="H27" s="265" t="inlineStr">
        <is>
          <t>10:26</t>
        </is>
      </c>
      <c r="I27" s="266" t="inlineStr">
        <is>
          <t>08:00</t>
        </is>
      </c>
      <c r="J27" s="267" t="inlineStr">
        <is>
          <t>02:26</t>
        </is>
      </c>
      <c r="K27" s="267" t="inlineStr"/>
      <c r="L27" s="265" t="inlineStr"/>
      <c r="M27" s="173" t="inlineStr">
        <is>
          <t>早出のケース</t>
        </is>
      </c>
      <c r="N27" s="268" t="n"/>
      <c r="O27" s="268" t="n"/>
      <c r="P27" s="268" t="n"/>
      <c r="Q27" s="268" t="n"/>
      <c r="R27" s="268" t="n"/>
      <c r="S27" s="268" t="n"/>
      <c r="T27" s="269" t="n"/>
      <c r="U27" s="48" t="inlineStr"/>
      <c r="V27" s="257" t="inlineStr">
        <is>
          <t>要確認！課金工数がありません。</t>
        </is>
      </c>
      <c r="W27" s="72" t="n"/>
      <c r="X27" s="72" t="n"/>
      <c r="Y27" s="72" t="n"/>
      <c r="Z27" s="72" t="n"/>
    </row>
    <row r="28" ht="19.95" customHeight="1" s="235">
      <c r="A28" s="258" t="inlineStr"/>
      <c r="B28" s="259" t="n">
        <v>1</v>
      </c>
      <c r="C28" s="260" t="inlineStr">
        <is>
          <t>月</t>
        </is>
      </c>
      <c r="D28" s="261" t="inlineStr">
        <is>
          <t>稼働</t>
        </is>
      </c>
      <c r="E28" s="262" t="inlineStr">
        <is>
          <t>08:30</t>
        </is>
      </c>
      <c r="F28" s="263" t="inlineStr">
        <is>
          <t>19:56</t>
        </is>
      </c>
      <c r="G28" s="266" t="inlineStr">
        <is>
          <t>01:00</t>
        </is>
      </c>
      <c r="H28" s="265" t="inlineStr">
        <is>
          <t>10:26</t>
        </is>
      </c>
      <c r="I28" s="266" t="inlineStr">
        <is>
          <t>08:00</t>
        </is>
      </c>
      <c r="J28" s="267" t="inlineStr">
        <is>
          <t>02:26</t>
        </is>
      </c>
      <c r="K28" s="267" t="inlineStr"/>
      <c r="L28" s="265" t="inlineStr"/>
      <c r="M28" s="173" t="inlineStr">
        <is>
          <t>早出＋残業のケース</t>
        </is>
      </c>
      <c r="N28" s="268" t="n"/>
      <c r="O28" s="268" t="n"/>
      <c r="P28" s="268" t="n"/>
      <c r="Q28" s="268" t="n"/>
      <c r="R28" s="268" t="n"/>
      <c r="S28" s="268" t="n"/>
      <c r="T28" s="269" t="n"/>
      <c r="U28" s="48" t="inlineStr"/>
      <c r="V28" s="257" t="inlineStr">
        <is>
          <t>要確認！課金工数がありません。</t>
        </is>
      </c>
      <c r="W28" s="72" t="n"/>
      <c r="X28" s="72" t="n"/>
      <c r="Y28" s="72" t="n"/>
      <c r="Z28" s="72" t="n"/>
    </row>
    <row r="29" ht="19.95" customHeight="1" s="235">
      <c r="A29" s="258" t="inlineStr"/>
      <c r="B29" s="259" t="n">
        <v>1</v>
      </c>
      <c r="C29" s="260" t="inlineStr">
        <is>
          <t>月</t>
        </is>
      </c>
      <c r="D29" s="261" t="inlineStr">
        <is>
          <t>稼働</t>
        </is>
      </c>
      <c r="E29" s="262" t="inlineStr">
        <is>
          <t>08:30</t>
        </is>
      </c>
      <c r="F29" s="263" t="inlineStr">
        <is>
          <t>19:56</t>
        </is>
      </c>
      <c r="G29" s="266" t="inlineStr">
        <is>
          <t>01:00</t>
        </is>
      </c>
      <c r="H29" s="265" t="inlineStr">
        <is>
          <t>10:26</t>
        </is>
      </c>
      <c r="I29" s="266" t="inlineStr">
        <is>
          <t>08:00</t>
        </is>
      </c>
      <c r="J29" s="267" t="inlineStr">
        <is>
          <t>02:26</t>
        </is>
      </c>
      <c r="K29" s="267" t="inlineStr"/>
      <c r="L29" s="265" t="inlineStr"/>
      <c r="M29" s="173" t="n"/>
      <c r="N29" s="268" t="n"/>
      <c r="O29" s="268" t="n"/>
      <c r="P29" s="268" t="n"/>
      <c r="Q29" s="268" t="n"/>
      <c r="R29" s="268" t="n"/>
      <c r="S29" s="268" t="n"/>
      <c r="T29" s="269" t="n"/>
      <c r="U29" s="48" t="inlineStr"/>
      <c r="V29" s="257" t="inlineStr">
        <is>
          <t>要確認！課金工数がありません。</t>
        </is>
      </c>
      <c r="W29" s="72" t="n"/>
      <c r="X29" s="72" t="n"/>
      <c r="Y29" s="72" t="n"/>
      <c r="Z29" s="72" t="n"/>
    </row>
    <row r="30" ht="19.95" customHeight="1" s="235">
      <c r="A30" s="139" t="inlineStr"/>
      <c r="B30" s="259" t="n">
        <v>1</v>
      </c>
      <c r="C30" s="260" t="inlineStr">
        <is>
          <t>月</t>
        </is>
      </c>
      <c r="D30" s="261" t="inlineStr">
        <is>
          <t>稼働</t>
        </is>
      </c>
      <c r="E30" s="262" t="inlineStr">
        <is>
          <t>08:30</t>
        </is>
      </c>
      <c r="F30" s="263" t="inlineStr">
        <is>
          <t>19:56</t>
        </is>
      </c>
      <c r="G30" s="266" t="inlineStr">
        <is>
          <t>01:00</t>
        </is>
      </c>
      <c r="H30" s="265" t="inlineStr">
        <is>
          <t>10:26</t>
        </is>
      </c>
      <c r="I30" s="266" t="inlineStr">
        <is>
          <t>08:00</t>
        </is>
      </c>
      <c r="J30" s="267" t="inlineStr">
        <is>
          <t>02:26</t>
        </is>
      </c>
      <c r="K30" s="267" t="inlineStr"/>
      <c r="L30" s="265" t="inlineStr"/>
      <c r="M30" s="173" t="n"/>
      <c r="N30" s="268" t="n"/>
      <c r="O30" s="268" t="n"/>
      <c r="P30" s="268" t="n"/>
      <c r="Q30" s="268" t="n"/>
      <c r="R30" s="268" t="n"/>
      <c r="S30" s="268" t="n"/>
      <c r="T30" s="269" t="n"/>
      <c r="U30" s="48" t="inlineStr"/>
      <c r="V30" s="257" t="inlineStr">
        <is>
          <t>要確認！課金工数がありません。</t>
        </is>
      </c>
      <c r="W30" s="72" t="n"/>
      <c r="X30" s="72" t="n"/>
      <c r="Y30" s="72" t="n"/>
      <c r="Z30" s="72" t="n"/>
    </row>
    <row r="31" ht="19.95" customHeight="1" s="235">
      <c r="A31" s="139" t="inlineStr"/>
      <c r="B31" s="259" t="n">
        <v>1</v>
      </c>
      <c r="C31" s="260" t="inlineStr">
        <is>
          <t>月</t>
        </is>
      </c>
      <c r="D31" s="261" t="inlineStr">
        <is>
          <t>稼働</t>
        </is>
      </c>
      <c r="E31" s="262" t="inlineStr">
        <is>
          <t>08:30</t>
        </is>
      </c>
      <c r="F31" s="263" t="inlineStr">
        <is>
          <t>19:56</t>
        </is>
      </c>
      <c r="G31" s="266" t="inlineStr">
        <is>
          <t>01:00</t>
        </is>
      </c>
      <c r="H31" s="265" t="inlineStr">
        <is>
          <t>10:26</t>
        </is>
      </c>
      <c r="I31" s="266" t="inlineStr">
        <is>
          <t>08:00</t>
        </is>
      </c>
      <c r="J31" s="267" t="inlineStr">
        <is>
          <t>02:26</t>
        </is>
      </c>
      <c r="K31" s="267" t="inlineStr"/>
      <c r="L31" s="265" t="inlineStr"/>
      <c r="M31" s="173" t="n"/>
      <c r="N31" s="268" t="n"/>
      <c r="O31" s="268" t="n"/>
      <c r="P31" s="268" t="n"/>
      <c r="Q31" s="268" t="n"/>
      <c r="R31" s="268" t="n"/>
      <c r="S31" s="268" t="n"/>
      <c r="T31" s="269" t="n"/>
      <c r="U31" s="48" t="inlineStr"/>
      <c r="V31" s="257" t="inlineStr">
        <is>
          <t>要確認！課金工数がありません。</t>
        </is>
      </c>
      <c r="W31" s="72" t="n"/>
      <c r="X31" s="72" t="n"/>
      <c r="Y31" s="72" t="n"/>
      <c r="Z31" s="72" t="n"/>
    </row>
    <row r="32" ht="19.95" customHeight="1" s="235">
      <c r="A32" s="139" t="inlineStr"/>
      <c r="B32" s="259" t="n">
        <v>1</v>
      </c>
      <c r="C32" s="260" t="inlineStr">
        <is>
          <t>月</t>
        </is>
      </c>
      <c r="D32" s="261" t="inlineStr">
        <is>
          <t>稼働</t>
        </is>
      </c>
      <c r="E32" s="262" t="inlineStr">
        <is>
          <t>08:30</t>
        </is>
      </c>
      <c r="F32" s="263" t="inlineStr">
        <is>
          <t>19:56</t>
        </is>
      </c>
      <c r="G32" s="266" t="inlineStr">
        <is>
          <t>01:00</t>
        </is>
      </c>
      <c r="H32" s="265" t="inlineStr">
        <is>
          <t>10:26</t>
        </is>
      </c>
      <c r="I32" s="266" t="inlineStr">
        <is>
          <t>08:00</t>
        </is>
      </c>
      <c r="J32" s="267" t="inlineStr">
        <is>
          <t>02:26</t>
        </is>
      </c>
      <c r="K32" s="267" t="inlineStr"/>
      <c r="L32" s="265" t="inlineStr"/>
      <c r="M32" s="173" t="n"/>
      <c r="N32" s="268" t="n"/>
      <c r="O32" s="268" t="n"/>
      <c r="P32" s="268" t="n"/>
      <c r="Q32" s="268" t="n"/>
      <c r="R32" s="268" t="n"/>
      <c r="S32" s="268" t="n"/>
      <c r="T32" s="269" t="n"/>
      <c r="U32" s="48" t="inlineStr"/>
      <c r="V32" s="257" t="inlineStr">
        <is>
          <t>要確認！課金工数がありません。</t>
        </is>
      </c>
      <c r="W32" s="72" t="n"/>
      <c r="X32" s="72" t="n"/>
      <c r="Y32" s="72" t="n"/>
      <c r="Z32" s="72" t="n"/>
    </row>
    <row r="33" ht="19.95" customHeight="1" s="235">
      <c r="A33" s="139" t="inlineStr"/>
      <c r="B33" s="259" t="n">
        <v>1</v>
      </c>
      <c r="C33" s="260" t="inlineStr">
        <is>
          <t>月</t>
        </is>
      </c>
      <c r="D33" s="261" t="inlineStr">
        <is>
          <t>稼働</t>
        </is>
      </c>
      <c r="E33" s="262" t="inlineStr">
        <is>
          <t>08:30</t>
        </is>
      </c>
      <c r="F33" s="263" t="inlineStr">
        <is>
          <t>19:56</t>
        </is>
      </c>
      <c r="G33" s="266" t="inlineStr">
        <is>
          <t>01:00</t>
        </is>
      </c>
      <c r="H33" s="265" t="inlineStr">
        <is>
          <t>10:26</t>
        </is>
      </c>
      <c r="I33" s="266" t="inlineStr">
        <is>
          <t>08:00</t>
        </is>
      </c>
      <c r="J33" s="267" t="inlineStr">
        <is>
          <t>02:26</t>
        </is>
      </c>
      <c r="K33" s="267" t="inlineStr"/>
      <c r="L33" s="265" t="inlineStr"/>
      <c r="M33" s="173" t="n"/>
      <c r="N33" s="268" t="n"/>
      <c r="O33" s="268" t="n"/>
      <c r="P33" s="268" t="n"/>
      <c r="Q33" s="268" t="n"/>
      <c r="R33" s="268" t="n"/>
      <c r="S33" s="268" t="n"/>
      <c r="T33" s="269" t="n"/>
      <c r="U33" s="48" t="inlineStr"/>
      <c r="V33" s="257" t="inlineStr">
        <is>
          <t>要確認！課金工数がありません。</t>
        </is>
      </c>
      <c r="W33" s="72" t="n"/>
      <c r="X33" s="72" t="n"/>
      <c r="Y33" s="72" t="n"/>
      <c r="Z33" s="72" t="n"/>
    </row>
    <row r="34" ht="19.95" customHeight="1" s="235">
      <c r="A34" s="139" t="inlineStr"/>
      <c r="B34" s="259" t="n">
        <v>1</v>
      </c>
      <c r="C34" s="260" t="inlineStr">
        <is>
          <t>月</t>
        </is>
      </c>
      <c r="D34" s="261" t="inlineStr">
        <is>
          <t>稼働</t>
        </is>
      </c>
      <c r="E34" s="262" t="inlineStr">
        <is>
          <t>08:30</t>
        </is>
      </c>
      <c r="F34" s="263" t="inlineStr">
        <is>
          <t>19:56</t>
        </is>
      </c>
      <c r="G34" s="266" t="inlineStr">
        <is>
          <t>01:00</t>
        </is>
      </c>
      <c r="H34" s="265" t="inlineStr">
        <is>
          <t>10:26</t>
        </is>
      </c>
      <c r="I34" s="266" t="inlineStr">
        <is>
          <t>08:00</t>
        </is>
      </c>
      <c r="J34" s="267" t="inlineStr">
        <is>
          <t>02:26</t>
        </is>
      </c>
      <c r="K34" s="267" t="inlineStr"/>
      <c r="L34" s="265" t="inlineStr"/>
      <c r="M34" s="173" t="n"/>
      <c r="N34" s="268" t="n"/>
      <c r="O34" s="268" t="n"/>
      <c r="P34" s="268" t="n"/>
      <c r="Q34" s="268" t="n"/>
      <c r="R34" s="268" t="n"/>
      <c r="S34" s="268" t="n"/>
      <c r="T34" s="269" t="n"/>
      <c r="U34" s="48" t="inlineStr"/>
      <c r="V34" s="257" t="inlineStr">
        <is>
          <t>要確認！課金工数がありません。</t>
        </is>
      </c>
      <c r="W34" s="72" t="n"/>
      <c r="X34" s="72" t="n"/>
      <c r="Y34" s="72" t="n"/>
      <c r="Z34" s="72" t="n"/>
    </row>
    <row r="35" ht="19.95" customHeight="1" s="235">
      <c r="A35" s="139" t="inlineStr"/>
      <c r="B35" s="259" t="n">
        <v>1</v>
      </c>
      <c r="C35" s="260" t="inlineStr">
        <is>
          <t>月</t>
        </is>
      </c>
      <c r="D35" s="261" t="inlineStr">
        <is>
          <t>稼働</t>
        </is>
      </c>
      <c r="E35" s="262" t="inlineStr">
        <is>
          <t>08:30</t>
        </is>
      </c>
      <c r="F35" s="263" t="inlineStr">
        <is>
          <t>19:56</t>
        </is>
      </c>
      <c r="G35" s="266" t="inlineStr">
        <is>
          <t>01:00</t>
        </is>
      </c>
      <c r="H35" s="265" t="inlineStr">
        <is>
          <t>10:26</t>
        </is>
      </c>
      <c r="I35" s="266" t="inlineStr">
        <is>
          <t>08:00</t>
        </is>
      </c>
      <c r="J35" s="267" t="inlineStr">
        <is>
          <t>02:26</t>
        </is>
      </c>
      <c r="K35" s="267" t="inlineStr"/>
      <c r="L35" s="265" t="inlineStr"/>
      <c r="M35" s="173" t="n"/>
      <c r="N35" s="268" t="n"/>
      <c r="O35" s="268" t="n"/>
      <c r="P35" s="268" t="n"/>
      <c r="Q35" s="268" t="n"/>
      <c r="R35" s="268" t="n"/>
      <c r="S35" s="268" t="n"/>
      <c r="T35" s="269" t="n"/>
      <c r="U35" s="48" t="inlineStr"/>
      <c r="V35" s="270" t="inlineStr">
        <is>
          <t>要確認！課金工数がありません。</t>
        </is>
      </c>
      <c r="W35" s="72" t="n"/>
      <c r="X35" s="72" t="n"/>
      <c r="Y35" s="72" t="n"/>
      <c r="Z35" s="72" t="n"/>
    </row>
    <row r="36" ht="19.95" customHeight="1" s="235">
      <c r="A36" s="139" t="inlineStr"/>
      <c r="B36" s="259" t="n">
        <v>1</v>
      </c>
      <c r="C36" s="260" t="inlineStr">
        <is>
          <t>月</t>
        </is>
      </c>
      <c r="D36" s="261" t="inlineStr">
        <is>
          <t>稼働</t>
        </is>
      </c>
      <c r="E36" s="262" t="inlineStr">
        <is>
          <t>08:30</t>
        </is>
      </c>
      <c r="F36" s="263" t="inlineStr">
        <is>
          <t>19:56</t>
        </is>
      </c>
      <c r="G36" s="266" t="inlineStr">
        <is>
          <t>01:00</t>
        </is>
      </c>
      <c r="H36" s="265" t="inlineStr">
        <is>
          <t>10:26</t>
        </is>
      </c>
      <c r="I36" s="266" t="inlineStr">
        <is>
          <t>08:00</t>
        </is>
      </c>
      <c r="J36" s="267" t="inlineStr">
        <is>
          <t>02:26</t>
        </is>
      </c>
      <c r="K36" s="267" t="inlineStr"/>
      <c r="L36" s="265" t="inlineStr"/>
      <c r="M36" s="173" t="n"/>
      <c r="N36" s="268" t="n"/>
      <c r="O36" s="268" t="n"/>
      <c r="P36" s="268" t="n"/>
      <c r="Q36" s="268" t="n"/>
      <c r="R36" s="268" t="n"/>
      <c r="S36" s="268" t="n"/>
      <c r="T36" s="269" t="n"/>
      <c r="U36" s="48" t="inlineStr"/>
      <c r="V36" s="257" t="inlineStr">
        <is>
          <t>要確認！課金工数がありません。</t>
        </is>
      </c>
      <c r="W36" s="72" t="n"/>
      <c r="X36" s="72" t="n"/>
      <c r="Y36" s="72" t="n"/>
      <c r="Z36" s="72" t="n"/>
    </row>
    <row r="37" ht="19.95" customHeight="1" s="235">
      <c r="A37" s="139" t="inlineStr"/>
      <c r="B37" s="259" t="n">
        <v>1</v>
      </c>
      <c r="C37" s="260" t="inlineStr">
        <is>
          <t>月</t>
        </is>
      </c>
      <c r="D37" s="261" t="inlineStr">
        <is>
          <t>稼働</t>
        </is>
      </c>
      <c r="E37" s="262" t="inlineStr">
        <is>
          <t>08:30</t>
        </is>
      </c>
      <c r="F37" s="263" t="inlineStr">
        <is>
          <t>19:56</t>
        </is>
      </c>
      <c r="G37" s="266" t="inlineStr">
        <is>
          <t>01:00</t>
        </is>
      </c>
      <c r="H37" s="265" t="inlineStr">
        <is>
          <t>10:26</t>
        </is>
      </c>
      <c r="I37" s="266" t="inlineStr">
        <is>
          <t>08:00</t>
        </is>
      </c>
      <c r="J37" s="267" t="inlineStr">
        <is>
          <t>02:26</t>
        </is>
      </c>
      <c r="K37" s="267" t="inlineStr"/>
      <c r="L37" s="265" t="inlineStr"/>
      <c r="M37" s="173" t="n"/>
      <c r="N37" s="268" t="n"/>
      <c r="O37" s="268" t="n"/>
      <c r="P37" s="268" t="n"/>
      <c r="Q37" s="268" t="n"/>
      <c r="R37" s="268" t="n"/>
      <c r="S37" s="268" t="n"/>
      <c r="T37" s="269" t="n"/>
      <c r="U37" s="48" t="inlineStr"/>
      <c r="V37" s="257" t="inlineStr">
        <is>
          <t>要確認！課金工数がありません。</t>
        </is>
      </c>
      <c r="W37" s="72" t="n"/>
      <c r="X37" s="72" t="n"/>
      <c r="Y37" s="72" t="n"/>
      <c r="Z37" s="72" t="n"/>
    </row>
    <row r="38" ht="19.95" customHeight="1" s="235">
      <c r="A38" s="139" t="inlineStr"/>
      <c r="B38" s="259" t="n">
        <v>1</v>
      </c>
      <c r="C38" s="260" t="inlineStr">
        <is>
          <t>月</t>
        </is>
      </c>
      <c r="D38" s="261" t="inlineStr">
        <is>
          <t>稼働</t>
        </is>
      </c>
      <c r="E38" s="262" t="inlineStr">
        <is>
          <t>08:30</t>
        </is>
      </c>
      <c r="F38" s="263" t="inlineStr">
        <is>
          <t>19:56</t>
        </is>
      </c>
      <c r="G38" s="266" t="inlineStr">
        <is>
          <t>01:00</t>
        </is>
      </c>
      <c r="H38" s="265" t="inlineStr">
        <is>
          <t>10:26</t>
        </is>
      </c>
      <c r="I38" s="266" t="inlineStr">
        <is>
          <t>08:00</t>
        </is>
      </c>
      <c r="J38" s="267" t="inlineStr">
        <is>
          <t>02:26</t>
        </is>
      </c>
      <c r="K38" s="267" t="inlineStr"/>
      <c r="L38" s="265" t="inlineStr"/>
      <c r="M38" s="173" t="n"/>
      <c r="N38" s="268" t="n"/>
      <c r="O38" s="268" t="n"/>
      <c r="P38" s="268" t="n"/>
      <c r="Q38" s="268" t="n"/>
      <c r="R38" s="268" t="n"/>
      <c r="S38" s="268" t="n"/>
      <c r="T38" s="269" t="n"/>
      <c r="U38" s="48" t="inlineStr"/>
      <c r="V38" s="257" t="inlineStr">
        <is>
          <t>要確認！課金工数がありません。</t>
        </is>
      </c>
      <c r="W38" s="72" t="n"/>
      <c r="X38" s="72" t="n"/>
      <c r="Y38" s="72" t="n"/>
      <c r="Z38" s="72" t="n"/>
    </row>
    <row r="39" ht="19.95" customHeight="1" s="235">
      <c r="A39" s="139" t="inlineStr"/>
      <c r="B39" s="259" t="n">
        <v>1</v>
      </c>
      <c r="C39" s="260" t="inlineStr">
        <is>
          <t>月</t>
        </is>
      </c>
      <c r="D39" s="261" t="inlineStr">
        <is>
          <t>稼働</t>
        </is>
      </c>
      <c r="E39" s="262" t="inlineStr">
        <is>
          <t>08:30</t>
        </is>
      </c>
      <c r="F39" s="263" t="inlineStr">
        <is>
          <t>19:56</t>
        </is>
      </c>
      <c r="G39" s="266" t="inlineStr">
        <is>
          <t>01:00</t>
        </is>
      </c>
      <c r="H39" s="265" t="inlineStr">
        <is>
          <t>10:26</t>
        </is>
      </c>
      <c r="I39" s="266" t="inlineStr">
        <is>
          <t>08:00</t>
        </is>
      </c>
      <c r="J39" s="267" t="inlineStr">
        <is>
          <t>02:26</t>
        </is>
      </c>
      <c r="K39" s="267" t="inlineStr"/>
      <c r="L39" s="265" t="inlineStr"/>
      <c r="M39" s="173" t="n"/>
      <c r="N39" s="268" t="n"/>
      <c r="O39" s="268" t="n"/>
      <c r="P39" s="268" t="n"/>
      <c r="Q39" s="268" t="n"/>
      <c r="R39" s="268" t="n"/>
      <c r="S39" s="268" t="n"/>
      <c r="T39" s="269" t="n"/>
      <c r="U39" s="48" t="inlineStr"/>
      <c r="V39" s="257" t="inlineStr">
        <is>
          <t>要確認！課金工数がありません。</t>
        </is>
      </c>
      <c r="W39" s="72" t="n"/>
      <c r="X39" s="72" t="n"/>
      <c r="Y39" s="72" t="n"/>
      <c r="Z39" s="72" t="n"/>
    </row>
    <row r="40" ht="19.95" customHeight="1" s="235">
      <c r="A40" s="139" t="inlineStr"/>
      <c r="B40" s="259" t="n">
        <v>1</v>
      </c>
      <c r="C40" s="260" t="inlineStr">
        <is>
          <t>月</t>
        </is>
      </c>
      <c r="D40" s="261" t="inlineStr">
        <is>
          <t>稼働</t>
        </is>
      </c>
      <c r="E40" s="262" t="inlineStr">
        <is>
          <t>08:30</t>
        </is>
      </c>
      <c r="F40" s="263" t="inlineStr">
        <is>
          <t>19:56</t>
        </is>
      </c>
      <c r="G40" s="266" t="inlineStr">
        <is>
          <t>01:00</t>
        </is>
      </c>
      <c r="H40" s="265" t="inlineStr">
        <is>
          <t>10:26</t>
        </is>
      </c>
      <c r="I40" s="266" t="inlineStr">
        <is>
          <t>08:00</t>
        </is>
      </c>
      <c r="J40" s="267" t="inlineStr">
        <is>
          <t>02:26</t>
        </is>
      </c>
      <c r="K40" s="267" t="inlineStr"/>
      <c r="L40" s="265" t="inlineStr"/>
      <c r="M40" s="173" t="n"/>
      <c r="N40" s="268" t="n"/>
      <c r="O40" s="268" t="n"/>
      <c r="P40" s="268" t="n"/>
      <c r="Q40" s="268" t="n"/>
      <c r="R40" s="268" t="n"/>
      <c r="S40" s="268" t="n"/>
      <c r="T40" s="269" t="n"/>
      <c r="U40" s="48" t="inlineStr"/>
      <c r="V40" s="257" t="inlineStr">
        <is>
          <t>要確認！課金工数がありません。</t>
        </is>
      </c>
      <c r="W40" s="72" t="n"/>
      <c r="X40" s="72" t="n"/>
      <c r="Y40" s="72" t="n"/>
      <c r="Z40" s="72" t="n"/>
    </row>
    <row r="41" ht="19.95" customHeight="1" s="235">
      <c r="A41" s="139" t="inlineStr"/>
      <c r="B41" s="259" t="n">
        <v>1</v>
      </c>
      <c r="C41" s="260" t="inlineStr">
        <is>
          <t>月</t>
        </is>
      </c>
      <c r="D41" s="261" t="inlineStr">
        <is>
          <t>稼働</t>
        </is>
      </c>
      <c r="E41" s="262" t="inlineStr">
        <is>
          <t>08:30</t>
        </is>
      </c>
      <c r="F41" s="263" t="inlineStr">
        <is>
          <t>19:56</t>
        </is>
      </c>
      <c r="G41" s="266" t="inlineStr">
        <is>
          <t>01:00</t>
        </is>
      </c>
      <c r="H41" s="265" t="inlineStr">
        <is>
          <t>10:26</t>
        </is>
      </c>
      <c r="I41" s="266" t="inlineStr">
        <is>
          <t>08:00</t>
        </is>
      </c>
      <c r="J41" s="267" t="inlineStr">
        <is>
          <t>02:26</t>
        </is>
      </c>
      <c r="K41" s="267" t="inlineStr"/>
      <c r="L41" s="265" t="inlineStr"/>
      <c r="M41" s="173" t="n"/>
      <c r="N41" s="268" t="n"/>
      <c r="O41" s="268" t="n"/>
      <c r="P41" s="268" t="n"/>
      <c r="Q41" s="268" t="n"/>
      <c r="R41" s="268" t="n"/>
      <c r="S41" s="268" t="n"/>
      <c r="T41" s="269" t="n"/>
      <c r="U41" s="48" t="inlineStr"/>
      <c r="V41" s="257" t="inlineStr">
        <is>
          <t>要確認！課金工数がありません。</t>
        </is>
      </c>
      <c r="W41" s="72" t="n"/>
      <c r="X41" s="72" t="n"/>
      <c r="Y41" s="72" t="n"/>
      <c r="Z41" s="72" t="n"/>
    </row>
    <row r="42" ht="19.95" customHeight="1" s="235">
      <c r="A42" s="139" t="inlineStr"/>
      <c r="B42" s="259" t="n">
        <v>1</v>
      </c>
      <c r="C42" s="260" t="inlineStr">
        <is>
          <t>月</t>
        </is>
      </c>
      <c r="D42" s="261" t="inlineStr">
        <is>
          <t>稼働</t>
        </is>
      </c>
      <c r="E42" s="262" t="inlineStr">
        <is>
          <t>08:30</t>
        </is>
      </c>
      <c r="F42" s="263" t="inlineStr">
        <is>
          <t>19:56</t>
        </is>
      </c>
      <c r="G42" s="266" t="inlineStr">
        <is>
          <t>01:00</t>
        </is>
      </c>
      <c r="H42" s="265" t="inlineStr">
        <is>
          <t>10:26</t>
        </is>
      </c>
      <c r="I42" s="266" t="inlineStr">
        <is>
          <t>08:00</t>
        </is>
      </c>
      <c r="J42" s="267" t="inlineStr">
        <is>
          <t>02:26</t>
        </is>
      </c>
      <c r="K42" s="267" t="inlineStr"/>
      <c r="L42" s="265" t="inlineStr"/>
      <c r="M42" s="173" t="n"/>
      <c r="N42" s="268" t="n"/>
      <c r="O42" s="268" t="n"/>
      <c r="P42" s="268" t="n"/>
      <c r="Q42" s="268" t="n"/>
      <c r="R42" s="268" t="n"/>
      <c r="S42" s="268" t="n"/>
      <c r="T42" s="269" t="n"/>
      <c r="U42" s="49" t="inlineStr"/>
      <c r="V42" s="257" t="inlineStr">
        <is>
          <t>要確認！課金工数がありません。</t>
        </is>
      </c>
      <c r="W42" s="72" t="n"/>
      <c r="X42" s="72" t="n"/>
      <c r="Y42" s="72" t="n"/>
      <c r="Z42" s="72" t="n"/>
    </row>
    <row r="43" ht="19.95" customHeight="1" s="235">
      <c r="A43" s="139" t="inlineStr"/>
      <c r="B43" s="259" t="n">
        <v>1</v>
      </c>
      <c r="C43" s="260" t="inlineStr">
        <is>
          <t>月</t>
        </is>
      </c>
      <c r="D43" s="261" t="inlineStr">
        <is>
          <t>稼働</t>
        </is>
      </c>
      <c r="E43" s="262" t="inlineStr">
        <is>
          <t>08:30</t>
        </is>
      </c>
      <c r="F43" s="263" t="inlineStr">
        <is>
          <t>19:56</t>
        </is>
      </c>
      <c r="G43" s="266" t="inlineStr">
        <is>
          <t>01:00</t>
        </is>
      </c>
      <c r="H43" s="265" t="inlineStr">
        <is>
          <t>10:26</t>
        </is>
      </c>
      <c r="I43" s="266" t="inlineStr">
        <is>
          <t>08:00</t>
        </is>
      </c>
      <c r="J43" s="267" t="inlineStr">
        <is>
          <t>02:26</t>
        </is>
      </c>
      <c r="K43" s="267" t="inlineStr"/>
      <c r="L43" s="265" t="inlineStr"/>
      <c r="M43" s="173" t="n"/>
      <c r="N43" s="268" t="n"/>
      <c r="O43" s="268" t="n"/>
      <c r="P43" s="268" t="n"/>
      <c r="Q43" s="268" t="n"/>
      <c r="R43" s="268" t="n"/>
      <c r="S43" s="268" t="n"/>
      <c r="T43" s="269" t="n"/>
      <c r="U43" s="48" t="inlineStr"/>
      <c r="V43" s="257" t="inlineStr">
        <is>
          <t>要確認！課金工数がありません。</t>
        </is>
      </c>
      <c r="W43" s="72" t="n"/>
      <c r="X43" s="72" t="n"/>
      <c r="Y43" s="72" t="n"/>
      <c r="Z43" s="72" t="n"/>
    </row>
    <row r="44" ht="19.95" customHeight="1" s="235">
      <c r="A44" s="139" t="inlineStr"/>
      <c r="B44" s="259" t="n">
        <v>1</v>
      </c>
      <c r="C44" s="260" t="inlineStr">
        <is>
          <t>月</t>
        </is>
      </c>
      <c r="D44" s="261" t="inlineStr">
        <is>
          <t>稼働</t>
        </is>
      </c>
      <c r="E44" s="262" t="inlineStr">
        <is>
          <t>08:30</t>
        </is>
      </c>
      <c r="F44" s="263" t="inlineStr">
        <is>
          <t>19:56</t>
        </is>
      </c>
      <c r="G44" s="266" t="inlineStr">
        <is>
          <t>01:00</t>
        </is>
      </c>
      <c r="H44" s="265" t="inlineStr">
        <is>
          <t>10:26</t>
        </is>
      </c>
      <c r="I44" s="266" t="inlineStr">
        <is>
          <t>08:00</t>
        </is>
      </c>
      <c r="J44" s="267" t="inlineStr">
        <is>
          <t>02:26</t>
        </is>
      </c>
      <c r="K44" s="267" t="inlineStr"/>
      <c r="L44" s="265" t="inlineStr"/>
      <c r="M44" s="173" t="n"/>
      <c r="N44" s="268" t="n"/>
      <c r="O44" s="268" t="n"/>
      <c r="P44" s="268" t="n"/>
      <c r="Q44" s="268" t="n"/>
      <c r="R44" s="268" t="n"/>
      <c r="S44" s="268" t="n"/>
      <c r="T44" s="269" t="n"/>
      <c r="U44" s="48" t="inlineStr"/>
      <c r="V44" s="257" t="inlineStr">
        <is>
          <t>要確認！課金工数がありません。</t>
        </is>
      </c>
      <c r="W44" s="72" t="n"/>
      <c r="X44" s="72" t="n"/>
      <c r="Y44" s="72" t="n"/>
      <c r="Z44" s="72" t="n"/>
    </row>
    <row r="45" ht="19.95" customHeight="1" s="235">
      <c r="A45" s="139" t="inlineStr"/>
      <c r="B45" s="259" t="n">
        <v>1</v>
      </c>
      <c r="C45" s="260" t="inlineStr">
        <is>
          <t>月</t>
        </is>
      </c>
      <c r="D45" s="261" t="inlineStr">
        <is>
          <t>稼働</t>
        </is>
      </c>
      <c r="E45" s="262" t="inlineStr">
        <is>
          <t>08:30</t>
        </is>
      </c>
      <c r="F45" s="263" t="inlineStr">
        <is>
          <t>19:56</t>
        </is>
      </c>
      <c r="G45" s="266" t="inlineStr">
        <is>
          <t>01:00</t>
        </is>
      </c>
      <c r="H45" s="265" t="inlineStr">
        <is>
          <t>10:26</t>
        </is>
      </c>
      <c r="I45" s="266" t="inlineStr">
        <is>
          <t>08:00</t>
        </is>
      </c>
      <c r="J45" s="267" t="inlineStr">
        <is>
          <t>02:26</t>
        </is>
      </c>
      <c r="K45" s="267" t="inlineStr"/>
      <c r="L45" s="265" t="inlineStr"/>
      <c r="M45" s="173" t="n"/>
      <c r="N45" s="268" t="n"/>
      <c r="O45" s="268" t="n"/>
      <c r="P45" s="268" t="n"/>
      <c r="Q45" s="268" t="n"/>
      <c r="R45" s="268" t="n"/>
      <c r="S45" s="268" t="n"/>
      <c r="T45" s="269" t="n"/>
      <c r="U45" s="48" t="inlineStr"/>
      <c r="V45" s="257" t="inlineStr">
        <is>
          <t>要確認！課金工数がありません。</t>
        </is>
      </c>
      <c r="W45" s="72" t="n"/>
      <c r="X45" s="72" t="n"/>
      <c r="Y45" s="72" t="n"/>
      <c r="Z45" s="72" t="n"/>
    </row>
    <row r="46" ht="21" customHeight="1" s="235">
      <c r="A46" s="139" t="inlineStr"/>
      <c r="B46" s="259" t="n">
        <v>1</v>
      </c>
      <c r="C46" s="260" t="inlineStr">
        <is>
          <t>月</t>
        </is>
      </c>
      <c r="D46" s="261" t="inlineStr">
        <is>
          <t>稼働</t>
        </is>
      </c>
      <c r="E46" s="262" t="inlineStr">
        <is>
          <t>08:30</t>
        </is>
      </c>
      <c r="F46" s="263" t="inlineStr">
        <is>
          <t>19:56</t>
        </is>
      </c>
      <c r="G46" s="266" t="inlineStr">
        <is>
          <t>01:00</t>
        </is>
      </c>
      <c r="H46" s="265" t="inlineStr">
        <is>
          <t>10:26</t>
        </is>
      </c>
      <c r="I46" s="266" t="inlineStr">
        <is>
          <t>08:00</t>
        </is>
      </c>
      <c r="J46" s="267" t="inlineStr">
        <is>
          <t>02:26</t>
        </is>
      </c>
      <c r="K46" s="267" t="inlineStr"/>
      <c r="L46" s="265" t="inlineStr"/>
      <c r="M46" s="173" t="n"/>
      <c r="N46" s="268" t="n"/>
      <c r="O46" s="268" t="n"/>
      <c r="P46" s="268" t="n"/>
      <c r="Q46" s="268" t="n"/>
      <c r="R46" s="268" t="n"/>
      <c r="S46" s="268" t="n"/>
      <c r="T46" s="269" t="n"/>
      <c r="U46" s="48" t="inlineStr"/>
      <c r="V46" s="257" t="inlineStr">
        <is>
          <t>要確認！課金工数がありません。</t>
        </is>
      </c>
      <c r="W46" s="72" t="n"/>
      <c r="X46" s="72" t="n"/>
      <c r="Y46" s="72" t="n"/>
      <c r="Z46" s="72" t="n"/>
    </row>
    <row r="47" ht="19.95" customHeight="1" s="235">
      <c r="A47" s="140" t="inlineStr"/>
      <c r="B47" s="271" t="n">
        <v>1</v>
      </c>
      <c r="C47" s="272" t="inlineStr">
        <is>
          <t>月</t>
        </is>
      </c>
      <c r="D47" s="273" t="inlineStr">
        <is>
          <t>稼働</t>
        </is>
      </c>
      <c r="E47" s="262" t="inlineStr">
        <is>
          <t>08:30</t>
        </is>
      </c>
      <c r="F47" s="263" t="inlineStr">
        <is>
          <t>19:56</t>
        </is>
      </c>
      <c r="G47" s="274" t="inlineStr">
        <is>
          <t>01:00</t>
        </is>
      </c>
      <c r="H47" s="275" t="inlineStr">
        <is>
          <t>10:26</t>
        </is>
      </c>
      <c r="I47" s="274" t="inlineStr">
        <is>
          <t>08:00</t>
        </is>
      </c>
      <c r="J47" s="276" t="inlineStr">
        <is>
          <t>02:26</t>
        </is>
      </c>
      <c r="K47" s="276" t="inlineStr"/>
      <c r="L47" s="275" t="inlineStr"/>
      <c r="M47" s="176" t="n"/>
      <c r="N47" s="277" t="n"/>
      <c r="O47" s="277" t="n"/>
      <c r="P47" s="277" t="n"/>
      <c r="Q47" s="277" t="n"/>
      <c r="R47" s="277" t="n"/>
      <c r="S47" s="277" t="n"/>
      <c r="T47" s="278" t="n"/>
      <c r="U47" s="48" t="inlineStr"/>
      <c r="V47" s="257" t="inlineStr">
        <is>
          <t>要確認！課金工数がありません。</t>
        </is>
      </c>
      <c r="W47" s="72" t="n"/>
      <c r="X47" s="72" t="n"/>
      <c r="Y47" s="72" t="n"/>
      <c r="Z47" s="72" t="n"/>
    </row>
    <row r="48" ht="19.95" customHeight="1" s="235">
      <c r="A48" s="179" t="inlineStr">
        <is>
          <t>合計</t>
        </is>
      </c>
      <c r="B48" s="244" t="n"/>
      <c r="C48" s="244" t="n"/>
      <c r="D48" s="244" t="n"/>
      <c r="E48" s="244" t="n"/>
      <c r="F48" s="245" t="n"/>
      <c r="G48" s="279">
        <f>SUM(G17:G47)</f>
        <v/>
      </c>
      <c r="H48" s="280">
        <f>SUM(H17:H47)</f>
        <v/>
      </c>
      <c r="I48" s="281">
        <f>SUM(I17:I47)</f>
        <v/>
      </c>
      <c r="J48" s="282">
        <f>SUM(J17:J47)</f>
        <v/>
      </c>
      <c r="K48" s="282">
        <f>SUM(K17:K47)</f>
        <v/>
      </c>
      <c r="L48" s="283">
        <f>SUM(L17:L47)</f>
        <v/>
      </c>
      <c r="M48" s="211" t="inlineStr">
        <is>
          <t>月間作業時間
（深夜休日含む）</t>
        </is>
      </c>
      <c r="N48" s="284" t="n"/>
      <c r="O48" s="203" t="inlineStr">
        <is>
          <t>深夜</t>
        </is>
      </c>
      <c r="P48" s="255" t="n"/>
      <c r="Q48" s="285" t="n"/>
      <c r="R48" s="203" t="inlineStr">
        <is>
          <t>休日</t>
        </is>
      </c>
      <c r="S48" s="255" t="n"/>
      <c r="T48" s="285" t="n"/>
      <c r="U48" s="48" t="n"/>
      <c r="W48" s="72" t="n"/>
      <c r="X48" s="72" t="n"/>
      <c r="Y48" s="72" t="n"/>
      <c r="Z48" s="72" t="n"/>
    </row>
    <row r="49" ht="19.95" customHeight="1" s="235">
      <c r="A49" s="161" t="n"/>
      <c r="B49" s="162" t="n"/>
      <c r="C49" s="162" t="n"/>
      <c r="D49" s="162" t="n"/>
      <c r="E49" s="162" t="n"/>
      <c r="F49" s="162" t="n"/>
      <c r="G49" s="162" t="n"/>
      <c r="H49" s="162" t="n"/>
      <c r="I49" s="286" t="n"/>
      <c r="J49" s="286" t="n"/>
      <c r="K49" s="286" t="n"/>
      <c r="L49" s="287" t="n"/>
      <c r="M49" s="288" t="n"/>
      <c r="N49" s="289" t="n"/>
      <c r="O49" s="169" t="inlineStr">
        <is>
          <t>回数</t>
        </is>
      </c>
      <c r="P49" s="206" t="inlineStr">
        <is>
          <t>時間</t>
        </is>
      </c>
      <c r="Q49" s="290" t="n"/>
      <c r="R49" s="169" t="inlineStr">
        <is>
          <t>回数</t>
        </is>
      </c>
      <c r="S49" s="206" t="inlineStr">
        <is>
          <t>時間</t>
        </is>
      </c>
      <c r="T49" s="290" t="n"/>
      <c r="U49" s="48" t="n"/>
      <c r="W49" s="72" t="n"/>
      <c r="X49" s="72" t="n"/>
      <c r="Y49" s="72" t="n"/>
      <c r="Z49" s="72" t="n"/>
    </row>
    <row r="50" ht="30" customHeight="1" s="235">
      <c r="A50" s="165" t="n"/>
      <c r="B50" s="166" t="n"/>
      <c r="C50" s="166" t="n"/>
      <c r="D50" s="166" t="n"/>
      <c r="E50" s="166" t="n"/>
      <c r="F50" s="166" t="n"/>
      <c r="G50" s="166" t="n"/>
      <c r="H50" s="166" t="n"/>
      <c r="I50" s="291" t="n"/>
      <c r="J50" s="291" t="n"/>
      <c r="K50" s="291" t="n"/>
      <c r="L50" s="292" t="n"/>
      <c r="M50" s="293">
        <f>SUM(I17:L47)</f>
        <v/>
      </c>
      <c r="N50" s="294" t="n"/>
      <c r="O50" s="109">
        <f>COUNTIF(K17:K47,"&lt;&gt;" &amp; "*")</f>
        <v/>
      </c>
      <c r="P50" s="295">
        <f>SUM(K17:K47)</f>
        <v/>
      </c>
      <c r="Q50" s="296" t="n"/>
      <c r="R50" s="109">
        <f>COUNTIF(L17:L47,"&lt;&gt;" &amp; "*")</f>
        <v/>
      </c>
      <c r="S50" s="295">
        <f>SUM(L17:L47)</f>
        <v/>
      </c>
      <c r="T50" s="296" t="n"/>
      <c r="U50" s="48" t="n"/>
      <c r="W50" s="72" t="n"/>
      <c r="X50" s="72" t="n"/>
      <c r="Y50" s="72" t="n"/>
      <c r="Z50" s="72" t="n"/>
    </row>
    <row r="51" ht="22.5" customHeight="1" s="235">
      <c r="A51" s="92" t="inlineStr">
        <is>
          <t xml:space="preserve"> 【備　考】</t>
        </is>
      </c>
      <c r="B51" s="93" t="n"/>
      <c r="C51" s="94" t="n"/>
      <c r="D51" s="95" t="n"/>
      <c r="E51" s="95" t="n"/>
      <c r="F51" s="95" t="n"/>
      <c r="G51" s="96" t="n"/>
      <c r="H51" s="297" t="n"/>
      <c r="I51" s="297" t="n"/>
      <c r="J51" s="297" t="n"/>
      <c r="K51" s="297" t="n"/>
      <c r="L51" s="297" t="n"/>
      <c r="M51" s="297" t="n"/>
      <c r="N51" s="98" t="n"/>
      <c r="O51" s="98" t="n"/>
      <c r="P51" s="98" t="n"/>
      <c r="Q51" s="98" t="n"/>
      <c r="R51" s="98" t="n"/>
      <c r="S51" s="98" t="n"/>
      <c r="T51" s="99" t="n"/>
      <c r="U51" s="16" t="n"/>
    </row>
    <row r="52" ht="22.5" customHeight="1" s="235">
      <c r="A52" s="100" t="n"/>
      <c r="B52" s="101" t="n"/>
      <c r="C52" s="101" t="n"/>
      <c r="D52" s="102" t="n"/>
      <c r="E52" s="103" t="n"/>
      <c r="F52" s="102" t="n"/>
      <c r="G52" s="298" t="n"/>
      <c r="H52" s="299" t="n"/>
      <c r="I52" s="299" t="n"/>
      <c r="J52" s="299" t="n"/>
      <c r="K52" s="299" t="n"/>
      <c r="L52" s="299" t="n"/>
      <c r="M52" s="300" t="n"/>
      <c r="N52" s="107" t="n"/>
      <c r="O52" s="107" t="n"/>
      <c r="P52" s="107" t="n"/>
      <c r="Q52" s="107" t="n"/>
      <c r="R52" s="107" t="n"/>
      <c r="S52" s="107" t="n"/>
      <c r="T52" s="108" t="n"/>
      <c r="U52" s="16" t="n"/>
    </row>
    <row r="53" ht="15" customFormat="1" customHeight="1" s="81"/>
    <row r="54" ht="19.95" customFormat="1" customHeight="1" s="81"/>
    <row r="55" ht="19.95" customFormat="1" customHeight="1" s="81">
      <c r="N55" s="81" t="inlineStr">
        <is>
          <t>上記作業について確認しました。</t>
        </is>
      </c>
    </row>
    <row r="56" ht="19.95" customFormat="1" customHeight="1" s="81">
      <c r="N56" s="301" t="inlineStr">
        <is>
          <t>検収印</t>
        </is>
      </c>
      <c r="O56" s="244" t="n"/>
      <c r="P56" s="244" t="n"/>
      <c r="Q56" s="244" t="n"/>
      <c r="R56" s="244" t="n"/>
      <c r="S56" s="302" t="n"/>
    </row>
    <row r="57" ht="19.95" customFormat="1" customHeight="1" s="81">
      <c r="N57" s="303" t="n"/>
      <c r="O57" s="304" t="n"/>
      <c r="P57" s="304" t="n"/>
      <c r="Q57" s="304" t="n"/>
      <c r="R57" s="304" t="n"/>
      <c r="S57" s="305" t="n"/>
    </row>
    <row r="58" ht="19.95" customFormat="1" customHeight="1" s="81">
      <c r="N58" s="306" t="n"/>
      <c r="S58" s="307" t="n"/>
    </row>
    <row r="59" ht="19.95" customFormat="1" customHeight="1" s="81">
      <c r="N59" s="306" t="n"/>
      <c r="S59" s="307" t="n"/>
    </row>
    <row r="60" ht="19.95" customFormat="1" customHeight="1" s="81">
      <c r="N60" s="306" t="n"/>
      <c r="S60" s="307" t="n"/>
    </row>
    <row r="61" ht="19.95" customFormat="1" customHeight="1" s="81">
      <c r="N61" s="306" t="n"/>
      <c r="S61" s="307" t="n"/>
    </row>
    <row r="62" ht="15" customFormat="1" customHeight="1" s="81">
      <c r="N62" s="308" t="n"/>
      <c r="O62" s="309" t="n"/>
      <c r="P62" s="309" t="n"/>
      <c r="Q62" s="309" t="n"/>
      <c r="R62" s="309" t="n"/>
      <c r="S62" s="310" t="n"/>
      <c r="U62" s="193" t="n"/>
      <c r="V62" s="193" t="n"/>
      <c r="W62" s="193" t="n"/>
    </row>
    <row r="63">
      <c r="A63" s="88" t="inlineStr">
        <is>
          <t>4 / 4</t>
        </is>
      </c>
      <c r="B63" s="5" t="n"/>
      <c r="C63" s="5" t="n"/>
      <c r="D63" s="5" t="n"/>
      <c r="E63" s="5" t="n"/>
      <c r="F63" s="5" t="n"/>
      <c r="G63" s="5" t="n"/>
      <c r="K63" s="81" t="n"/>
      <c r="L63" s="81" t="n"/>
      <c r="M63" s="81" t="n"/>
      <c r="N63" s="81" t="n"/>
      <c r="O63" s="81" t="n"/>
      <c r="P63" s="193" t="n"/>
      <c r="Q63" s="193" t="n"/>
      <c r="R63" s="193" t="n"/>
      <c r="S63" s="193" t="n"/>
      <c r="T63" s="193" t="n"/>
    </row>
    <row r="65">
      <c r="V65" s="36" t="n"/>
      <c r="W65" s="36" t="n"/>
      <c r="X65" s="36" t="n"/>
      <c r="Y65" s="36" t="n"/>
      <c r="Z65" s="36" t="n"/>
    </row>
    <row r="66">
      <c r="H66" s="37" t="n"/>
      <c r="I66" s="37" t="n"/>
      <c r="J66" s="37" t="n"/>
      <c r="K66" s="37" t="n"/>
      <c r="L66" s="37" t="n"/>
      <c r="M66" s="37" t="n"/>
      <c r="V66" s="36" t="n"/>
      <c r="W66" s="36" t="n"/>
      <c r="X66" s="36" t="n"/>
      <c r="Y66" s="36" t="n"/>
      <c r="Z66" s="36" t="n"/>
    </row>
    <row r="67">
      <c r="H67" s="37" t="n"/>
      <c r="I67" s="37" t="n"/>
      <c r="J67" s="37" t="n"/>
      <c r="K67" s="37" t="n"/>
      <c r="L67" s="37" t="n"/>
      <c r="M67" s="37" t="n"/>
      <c r="V67" s="36" t="n"/>
      <c r="W67" s="36" t="n"/>
      <c r="X67" s="36" t="n"/>
      <c r="Y67" s="36" t="n"/>
      <c r="Z67" s="36" t="n"/>
    </row>
    <row r="68">
      <c r="V68" s="36" t="n"/>
      <c r="W68" s="36" t="n"/>
      <c r="X68" s="36" t="n"/>
      <c r="Y68" s="36" t="n"/>
      <c r="Z68" s="36" t="n"/>
    </row>
  </sheetData>
  <mergeCells count="46">
    <mergeCell ref="M43:T43"/>
    <mergeCell ref="M34:T34"/>
    <mergeCell ref="N57:S62"/>
    <mergeCell ref="M44:T44"/>
    <mergeCell ref="P50:Q50"/>
    <mergeCell ref="D14:G14"/>
    <mergeCell ref="M39:T39"/>
    <mergeCell ref="M35:T35"/>
    <mergeCell ref="M20:T20"/>
    <mergeCell ref="P49:Q49"/>
    <mergeCell ref="L5:M5"/>
    <mergeCell ref="O48:Q48"/>
    <mergeCell ref="M22:T22"/>
    <mergeCell ref="M40:T40"/>
    <mergeCell ref="M31:T31"/>
    <mergeCell ref="S49:T49"/>
    <mergeCell ref="M25:T25"/>
    <mergeCell ref="M16:T16"/>
    <mergeCell ref="M30:T30"/>
    <mergeCell ref="M21:T21"/>
    <mergeCell ref="M28:T28"/>
    <mergeCell ref="M37:T37"/>
    <mergeCell ref="R48:T48"/>
    <mergeCell ref="M27:T27"/>
    <mergeCell ref="M46:T46"/>
    <mergeCell ref="A48:F48"/>
    <mergeCell ref="M33:T33"/>
    <mergeCell ref="M36:T36"/>
    <mergeCell ref="M42:T42"/>
    <mergeCell ref="M18:T18"/>
    <mergeCell ref="M45:T45"/>
    <mergeCell ref="M48:N49"/>
    <mergeCell ref="M26:T26"/>
    <mergeCell ref="M41:T41"/>
    <mergeCell ref="M17:T17"/>
    <mergeCell ref="A4:T4"/>
    <mergeCell ref="M24:T24"/>
    <mergeCell ref="M47:T47"/>
    <mergeCell ref="M38:T38"/>
    <mergeCell ref="M29:T29"/>
    <mergeCell ref="M23:T23"/>
    <mergeCell ref="M50:N50"/>
    <mergeCell ref="S50:T50"/>
    <mergeCell ref="M19:T19"/>
    <mergeCell ref="N56:S56"/>
    <mergeCell ref="M32:T32"/>
  </mergeCells>
  <conditionalFormatting sqref="B17:E47">
    <cfRule type="expression" priority="6" dxfId="5" stopIfTrue="1">
      <formula>OR($D17="休日")</formula>
    </cfRule>
  </conditionalFormatting>
  <conditionalFormatting sqref="C17:D47">
    <cfRule type="expression" priority="151" dxfId="8" stopIfTrue="1">
      <formula>OR($D17="休日")</formula>
    </cfRule>
  </conditionalFormatting>
  <conditionalFormatting sqref="D17:D47">
    <cfRule type="cellIs" priority="152" operator="equal" dxfId="0" stopIfTrue="1">
      <formula>"稼働"</formula>
    </cfRule>
  </conditionalFormatting>
  <conditionalFormatting sqref="F17:F47">
    <cfRule type="expression" priority="1" dxfId="5">
      <formula>OR($D17="休日")</formula>
    </cfRule>
  </conditionalFormatting>
  <conditionalFormatting sqref="G17:M47">
    <cfRule type="expression" priority="49" dxfId="5" stopIfTrue="1">
      <formula>OR($D17="休日")</formula>
    </cfRule>
  </conditionalFormatting>
  <conditionalFormatting sqref="I48:L50">
    <cfRule type="expression" priority="41" dxfId="2" stopIfTrue="1">
      <formula>OR($D48="休日")</formula>
    </cfRule>
  </conditionalFormatting>
  <conditionalFormatting sqref="M48 M50 O48 O49:P50 R48 R49:S50">
    <cfRule type="expression" priority="83" dxfId="2" stopIfTrue="1">
      <formula>OR($D48="休日")</formula>
    </cfRule>
  </conditionalFormatting>
  <pageMargins left="0.7874015748031497" right="0.7874015748031497" top="0.5905511811023623" bottom="0.5905511811023623" header="0.5118110236220472" footer="0.5118110236220472"/>
  <pageSetup orientation="portrait" paperSize="9" scale="62"/>
  <headerFooter alignWithMargins="0">
    <oddHeader/>
    <oddFooter>&amp;R④-A_実績時間報告書　個人別明細(氏名)_深夜休日含む（Ver.1.2）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6">
    <outlinePr summaryBelow="1" summaryRight="1"/>
    <pageSetUpPr fitToPage="1"/>
  </sheetPr>
  <dimension ref="A1:AB68"/>
  <sheetViews>
    <sheetView view="pageBreakPreview" zoomScaleNormal="100" zoomScaleSheetLayoutView="100" workbookViewId="0">
      <selection activeCell="P9" sqref="P9"/>
    </sheetView>
  </sheetViews>
  <sheetFormatPr baseColWidth="8" defaultColWidth="8.77734375" defaultRowHeight="13.2"/>
  <cols>
    <col width="4.33203125" customWidth="1" style="3" min="1" max="1"/>
    <col width="4" customWidth="1" style="3" min="2" max="2"/>
    <col width="4.109375" customWidth="1" style="3" min="3" max="3"/>
    <col width="6.109375" customWidth="1" style="3" min="4" max="4"/>
    <col width="7.33203125" customWidth="1" style="3" min="5" max="6"/>
    <col width="7.44140625" customWidth="1" style="3" min="7" max="7"/>
    <col width="7.44140625" customWidth="1" style="5" min="8" max="12"/>
    <col width="9" customWidth="1" style="5" min="13" max="13"/>
    <col width="7.109375" customWidth="1" style="3" min="14" max="20"/>
    <col width="5.109375" bestFit="1" customWidth="1" style="3" min="21" max="21"/>
    <col width="9.109375" bestFit="1" customWidth="1" style="3" min="22" max="26"/>
    <col width="8.77734375" customWidth="1" style="3" min="27" max="259"/>
    <col width="4.33203125" customWidth="1" style="3" min="260" max="260"/>
    <col width="4" customWidth="1" style="3" min="261" max="261"/>
    <col width="4.109375" customWidth="1" style="3" min="262" max="262"/>
    <col width="8" customWidth="1" style="3" min="263" max="263"/>
    <col width="8.109375" customWidth="1" style="3" min="264" max="265"/>
    <col width="9.109375" customWidth="1" style="3" min="266" max="266"/>
    <col width="8.77734375" customWidth="1" style="3" min="267" max="267"/>
    <col width="6.44140625" customWidth="1" style="3" min="268" max="268"/>
    <col width="26.109375" customWidth="1" style="3" min="269" max="269"/>
    <col width="7.109375" customWidth="1" style="3" min="270" max="270"/>
    <col width="11.109375" customWidth="1" style="3" min="271" max="271"/>
    <col width="5.109375" bestFit="1" customWidth="1" style="3" min="272" max="272"/>
    <col width="8.77734375" customWidth="1" style="3" min="273" max="276"/>
    <col width="7.44140625" bestFit="1" customWidth="1" style="3" min="277" max="277"/>
    <col width="9.109375" bestFit="1" customWidth="1" style="3" min="278" max="282"/>
    <col width="8.77734375" customWidth="1" style="3" min="283" max="515"/>
    <col width="4.33203125" customWidth="1" style="3" min="516" max="516"/>
    <col width="4" customWidth="1" style="3" min="517" max="517"/>
    <col width="4.109375" customWidth="1" style="3" min="518" max="518"/>
    <col width="8" customWidth="1" style="3" min="519" max="519"/>
    <col width="8.109375" customWidth="1" style="3" min="520" max="521"/>
    <col width="9.109375" customWidth="1" style="3" min="522" max="522"/>
    <col width="8.77734375" customWidth="1" style="3" min="523" max="523"/>
    <col width="6.44140625" customWidth="1" style="3" min="524" max="524"/>
    <col width="26.109375" customWidth="1" style="3" min="525" max="525"/>
    <col width="7.109375" customWidth="1" style="3" min="526" max="526"/>
    <col width="11.109375" customWidth="1" style="3" min="527" max="527"/>
    <col width="5.109375" bestFit="1" customWidth="1" style="3" min="528" max="528"/>
    <col width="8.77734375" customWidth="1" style="3" min="529" max="532"/>
    <col width="7.44140625" bestFit="1" customWidth="1" style="3" min="533" max="533"/>
    <col width="9.109375" bestFit="1" customWidth="1" style="3" min="534" max="538"/>
    <col width="8.77734375" customWidth="1" style="3" min="539" max="771"/>
    <col width="4.33203125" customWidth="1" style="3" min="772" max="772"/>
    <col width="4" customWidth="1" style="3" min="773" max="773"/>
    <col width="4.109375" customWidth="1" style="3" min="774" max="774"/>
    <col width="8" customWidth="1" style="3" min="775" max="775"/>
    <col width="8.109375" customWidth="1" style="3" min="776" max="777"/>
    <col width="9.109375" customWidth="1" style="3" min="778" max="778"/>
    <col width="8.77734375" customWidth="1" style="3" min="779" max="779"/>
    <col width="6.44140625" customWidth="1" style="3" min="780" max="780"/>
    <col width="26.109375" customWidth="1" style="3" min="781" max="781"/>
    <col width="7.109375" customWidth="1" style="3" min="782" max="782"/>
    <col width="11.109375" customWidth="1" style="3" min="783" max="783"/>
    <col width="5.109375" bestFit="1" customWidth="1" style="3" min="784" max="784"/>
    <col width="8.77734375" customWidth="1" style="3" min="785" max="788"/>
    <col width="7.44140625" bestFit="1" customWidth="1" style="3" min="789" max="789"/>
    <col width="9.109375" bestFit="1" customWidth="1" style="3" min="790" max="794"/>
    <col width="8.77734375" customWidth="1" style="3" min="795" max="1027"/>
    <col width="4.33203125" customWidth="1" style="3" min="1028" max="1028"/>
    <col width="4" customWidth="1" style="3" min="1029" max="1029"/>
    <col width="4.109375" customWidth="1" style="3" min="1030" max="1030"/>
    <col width="8" customWidth="1" style="3" min="1031" max="1031"/>
    <col width="8.109375" customWidth="1" style="3" min="1032" max="1033"/>
    <col width="9.109375" customWidth="1" style="3" min="1034" max="1034"/>
    <col width="8.77734375" customWidth="1" style="3" min="1035" max="1035"/>
    <col width="6.44140625" customWidth="1" style="3" min="1036" max="1036"/>
    <col width="26.109375" customWidth="1" style="3" min="1037" max="1037"/>
    <col width="7.109375" customWidth="1" style="3" min="1038" max="1038"/>
    <col width="11.109375" customWidth="1" style="3" min="1039" max="1039"/>
    <col width="5.109375" bestFit="1" customWidth="1" style="3" min="1040" max="1040"/>
    <col width="8.77734375" customWidth="1" style="3" min="1041" max="1044"/>
    <col width="7.44140625" bestFit="1" customWidth="1" style="3" min="1045" max="1045"/>
    <col width="9.109375" bestFit="1" customWidth="1" style="3" min="1046" max="1050"/>
    <col width="8.77734375" customWidth="1" style="3" min="1051" max="1283"/>
    <col width="4.33203125" customWidth="1" style="3" min="1284" max="1284"/>
    <col width="4" customWidth="1" style="3" min="1285" max="1285"/>
    <col width="4.109375" customWidth="1" style="3" min="1286" max="1286"/>
    <col width="8" customWidth="1" style="3" min="1287" max="1287"/>
    <col width="8.109375" customWidth="1" style="3" min="1288" max="1289"/>
    <col width="9.109375" customWidth="1" style="3" min="1290" max="1290"/>
    <col width="8.77734375" customWidth="1" style="3" min="1291" max="1291"/>
    <col width="6.44140625" customWidth="1" style="3" min="1292" max="1292"/>
    <col width="26.109375" customWidth="1" style="3" min="1293" max="1293"/>
    <col width="7.109375" customWidth="1" style="3" min="1294" max="1294"/>
    <col width="11.109375" customWidth="1" style="3" min="1295" max="1295"/>
    <col width="5.109375" bestFit="1" customWidth="1" style="3" min="1296" max="1296"/>
    <col width="8.77734375" customWidth="1" style="3" min="1297" max="1300"/>
    <col width="7.44140625" bestFit="1" customWidth="1" style="3" min="1301" max="1301"/>
    <col width="9.109375" bestFit="1" customWidth="1" style="3" min="1302" max="1306"/>
    <col width="8.77734375" customWidth="1" style="3" min="1307" max="1539"/>
    <col width="4.33203125" customWidth="1" style="3" min="1540" max="1540"/>
    <col width="4" customWidth="1" style="3" min="1541" max="1541"/>
    <col width="4.109375" customWidth="1" style="3" min="1542" max="1542"/>
    <col width="8" customWidth="1" style="3" min="1543" max="1543"/>
    <col width="8.109375" customWidth="1" style="3" min="1544" max="1545"/>
    <col width="9.109375" customWidth="1" style="3" min="1546" max="1546"/>
    <col width="8.77734375" customWidth="1" style="3" min="1547" max="1547"/>
    <col width="6.44140625" customWidth="1" style="3" min="1548" max="1548"/>
    <col width="26.109375" customWidth="1" style="3" min="1549" max="1549"/>
    <col width="7.109375" customWidth="1" style="3" min="1550" max="1550"/>
    <col width="11.109375" customWidth="1" style="3" min="1551" max="1551"/>
    <col width="5.109375" bestFit="1" customWidth="1" style="3" min="1552" max="1552"/>
    <col width="8.77734375" customWidth="1" style="3" min="1553" max="1556"/>
    <col width="7.44140625" bestFit="1" customWidth="1" style="3" min="1557" max="1557"/>
    <col width="9.109375" bestFit="1" customWidth="1" style="3" min="1558" max="1562"/>
    <col width="8.77734375" customWidth="1" style="3" min="1563" max="1795"/>
    <col width="4.33203125" customWidth="1" style="3" min="1796" max="1796"/>
    <col width="4" customWidth="1" style="3" min="1797" max="1797"/>
    <col width="4.109375" customWidth="1" style="3" min="1798" max="1798"/>
    <col width="8" customWidth="1" style="3" min="1799" max="1799"/>
    <col width="8.109375" customWidth="1" style="3" min="1800" max="1801"/>
    <col width="9.109375" customWidth="1" style="3" min="1802" max="1802"/>
    <col width="8.77734375" customWidth="1" style="3" min="1803" max="1803"/>
    <col width="6.44140625" customWidth="1" style="3" min="1804" max="1804"/>
    <col width="26.109375" customWidth="1" style="3" min="1805" max="1805"/>
    <col width="7.109375" customWidth="1" style="3" min="1806" max="1806"/>
    <col width="11.109375" customWidth="1" style="3" min="1807" max="1807"/>
    <col width="5.109375" bestFit="1" customWidth="1" style="3" min="1808" max="1808"/>
    <col width="8.77734375" customWidth="1" style="3" min="1809" max="1812"/>
    <col width="7.44140625" bestFit="1" customWidth="1" style="3" min="1813" max="1813"/>
    <col width="9.109375" bestFit="1" customWidth="1" style="3" min="1814" max="1818"/>
    <col width="8.77734375" customWidth="1" style="3" min="1819" max="2051"/>
    <col width="4.33203125" customWidth="1" style="3" min="2052" max="2052"/>
    <col width="4" customWidth="1" style="3" min="2053" max="2053"/>
    <col width="4.109375" customWidth="1" style="3" min="2054" max="2054"/>
    <col width="8" customWidth="1" style="3" min="2055" max="2055"/>
    <col width="8.109375" customWidth="1" style="3" min="2056" max="2057"/>
    <col width="9.109375" customWidth="1" style="3" min="2058" max="2058"/>
    <col width="8.77734375" customWidth="1" style="3" min="2059" max="2059"/>
    <col width="6.44140625" customWidth="1" style="3" min="2060" max="2060"/>
    <col width="26.109375" customWidth="1" style="3" min="2061" max="2061"/>
    <col width="7.109375" customWidth="1" style="3" min="2062" max="2062"/>
    <col width="11.109375" customWidth="1" style="3" min="2063" max="2063"/>
    <col width="5.109375" bestFit="1" customWidth="1" style="3" min="2064" max="2064"/>
    <col width="8.77734375" customWidth="1" style="3" min="2065" max="2068"/>
    <col width="7.44140625" bestFit="1" customWidth="1" style="3" min="2069" max="2069"/>
    <col width="9.109375" bestFit="1" customWidth="1" style="3" min="2070" max="2074"/>
    <col width="8.77734375" customWidth="1" style="3" min="2075" max="2307"/>
    <col width="4.33203125" customWidth="1" style="3" min="2308" max="2308"/>
    <col width="4" customWidth="1" style="3" min="2309" max="2309"/>
    <col width="4.109375" customWidth="1" style="3" min="2310" max="2310"/>
    <col width="8" customWidth="1" style="3" min="2311" max="2311"/>
    <col width="8.109375" customWidth="1" style="3" min="2312" max="2313"/>
    <col width="9.109375" customWidth="1" style="3" min="2314" max="2314"/>
    <col width="8.77734375" customWidth="1" style="3" min="2315" max="2315"/>
    <col width="6.44140625" customWidth="1" style="3" min="2316" max="2316"/>
    <col width="26.109375" customWidth="1" style="3" min="2317" max="2317"/>
    <col width="7.109375" customWidth="1" style="3" min="2318" max="2318"/>
    <col width="11.109375" customWidth="1" style="3" min="2319" max="2319"/>
    <col width="5.109375" bestFit="1" customWidth="1" style="3" min="2320" max="2320"/>
    <col width="8.77734375" customWidth="1" style="3" min="2321" max="2324"/>
    <col width="7.44140625" bestFit="1" customWidth="1" style="3" min="2325" max="2325"/>
    <col width="9.109375" bestFit="1" customWidth="1" style="3" min="2326" max="2330"/>
    <col width="8.77734375" customWidth="1" style="3" min="2331" max="2563"/>
    <col width="4.33203125" customWidth="1" style="3" min="2564" max="2564"/>
    <col width="4" customWidth="1" style="3" min="2565" max="2565"/>
    <col width="4.109375" customWidth="1" style="3" min="2566" max="2566"/>
    <col width="8" customWidth="1" style="3" min="2567" max="2567"/>
    <col width="8.109375" customWidth="1" style="3" min="2568" max="2569"/>
    <col width="9.109375" customWidth="1" style="3" min="2570" max="2570"/>
    <col width="8.77734375" customWidth="1" style="3" min="2571" max="2571"/>
    <col width="6.44140625" customWidth="1" style="3" min="2572" max="2572"/>
    <col width="26.109375" customWidth="1" style="3" min="2573" max="2573"/>
    <col width="7.109375" customWidth="1" style="3" min="2574" max="2574"/>
    <col width="11.109375" customWidth="1" style="3" min="2575" max="2575"/>
    <col width="5.109375" bestFit="1" customWidth="1" style="3" min="2576" max="2576"/>
    <col width="8.77734375" customWidth="1" style="3" min="2577" max="2580"/>
    <col width="7.44140625" bestFit="1" customWidth="1" style="3" min="2581" max="2581"/>
    <col width="9.109375" bestFit="1" customWidth="1" style="3" min="2582" max="2586"/>
    <col width="8.77734375" customWidth="1" style="3" min="2587" max="2819"/>
    <col width="4.33203125" customWidth="1" style="3" min="2820" max="2820"/>
    <col width="4" customWidth="1" style="3" min="2821" max="2821"/>
    <col width="4.109375" customWidth="1" style="3" min="2822" max="2822"/>
    <col width="8" customWidth="1" style="3" min="2823" max="2823"/>
    <col width="8.109375" customWidth="1" style="3" min="2824" max="2825"/>
    <col width="9.109375" customWidth="1" style="3" min="2826" max="2826"/>
    <col width="8.77734375" customWidth="1" style="3" min="2827" max="2827"/>
    <col width="6.44140625" customWidth="1" style="3" min="2828" max="2828"/>
    <col width="26.109375" customWidth="1" style="3" min="2829" max="2829"/>
    <col width="7.109375" customWidth="1" style="3" min="2830" max="2830"/>
    <col width="11.109375" customWidth="1" style="3" min="2831" max="2831"/>
    <col width="5.109375" bestFit="1" customWidth="1" style="3" min="2832" max="2832"/>
    <col width="8.77734375" customWidth="1" style="3" min="2833" max="2836"/>
    <col width="7.44140625" bestFit="1" customWidth="1" style="3" min="2837" max="2837"/>
    <col width="9.109375" bestFit="1" customWidth="1" style="3" min="2838" max="2842"/>
    <col width="8.77734375" customWidth="1" style="3" min="2843" max="3075"/>
    <col width="4.33203125" customWidth="1" style="3" min="3076" max="3076"/>
    <col width="4" customWidth="1" style="3" min="3077" max="3077"/>
    <col width="4.109375" customWidth="1" style="3" min="3078" max="3078"/>
    <col width="8" customWidth="1" style="3" min="3079" max="3079"/>
    <col width="8.109375" customWidth="1" style="3" min="3080" max="3081"/>
    <col width="9.109375" customWidth="1" style="3" min="3082" max="3082"/>
    <col width="8.77734375" customWidth="1" style="3" min="3083" max="3083"/>
    <col width="6.44140625" customWidth="1" style="3" min="3084" max="3084"/>
    <col width="26.109375" customWidth="1" style="3" min="3085" max="3085"/>
    <col width="7.109375" customWidth="1" style="3" min="3086" max="3086"/>
    <col width="11.109375" customWidth="1" style="3" min="3087" max="3087"/>
    <col width="5.109375" bestFit="1" customWidth="1" style="3" min="3088" max="3088"/>
    <col width="8.77734375" customWidth="1" style="3" min="3089" max="3092"/>
    <col width="7.44140625" bestFit="1" customWidth="1" style="3" min="3093" max="3093"/>
    <col width="9.109375" bestFit="1" customWidth="1" style="3" min="3094" max="3098"/>
    <col width="8.77734375" customWidth="1" style="3" min="3099" max="3331"/>
    <col width="4.33203125" customWidth="1" style="3" min="3332" max="3332"/>
    <col width="4" customWidth="1" style="3" min="3333" max="3333"/>
    <col width="4.109375" customWidth="1" style="3" min="3334" max="3334"/>
    <col width="8" customWidth="1" style="3" min="3335" max="3335"/>
    <col width="8.109375" customWidth="1" style="3" min="3336" max="3337"/>
    <col width="9.109375" customWidth="1" style="3" min="3338" max="3338"/>
    <col width="8.77734375" customWidth="1" style="3" min="3339" max="3339"/>
    <col width="6.44140625" customWidth="1" style="3" min="3340" max="3340"/>
    <col width="26.109375" customWidth="1" style="3" min="3341" max="3341"/>
    <col width="7.109375" customWidth="1" style="3" min="3342" max="3342"/>
    <col width="11.109375" customWidth="1" style="3" min="3343" max="3343"/>
    <col width="5.109375" bestFit="1" customWidth="1" style="3" min="3344" max="3344"/>
    <col width="8.77734375" customWidth="1" style="3" min="3345" max="3348"/>
    <col width="7.44140625" bestFit="1" customWidth="1" style="3" min="3349" max="3349"/>
    <col width="9.109375" bestFit="1" customWidth="1" style="3" min="3350" max="3354"/>
    <col width="8.77734375" customWidth="1" style="3" min="3355" max="3587"/>
    <col width="4.33203125" customWidth="1" style="3" min="3588" max="3588"/>
    <col width="4" customWidth="1" style="3" min="3589" max="3589"/>
    <col width="4.109375" customWidth="1" style="3" min="3590" max="3590"/>
    <col width="8" customWidth="1" style="3" min="3591" max="3591"/>
    <col width="8.109375" customWidth="1" style="3" min="3592" max="3593"/>
    <col width="9.109375" customWidth="1" style="3" min="3594" max="3594"/>
    <col width="8.77734375" customWidth="1" style="3" min="3595" max="3595"/>
    <col width="6.44140625" customWidth="1" style="3" min="3596" max="3596"/>
    <col width="26.109375" customWidth="1" style="3" min="3597" max="3597"/>
    <col width="7.109375" customWidth="1" style="3" min="3598" max="3598"/>
    <col width="11.109375" customWidth="1" style="3" min="3599" max="3599"/>
    <col width="5.109375" bestFit="1" customWidth="1" style="3" min="3600" max="3600"/>
    <col width="8.77734375" customWidth="1" style="3" min="3601" max="3604"/>
    <col width="7.44140625" bestFit="1" customWidth="1" style="3" min="3605" max="3605"/>
    <col width="9.109375" bestFit="1" customWidth="1" style="3" min="3606" max="3610"/>
    <col width="8.77734375" customWidth="1" style="3" min="3611" max="3843"/>
    <col width="4.33203125" customWidth="1" style="3" min="3844" max="3844"/>
    <col width="4" customWidth="1" style="3" min="3845" max="3845"/>
    <col width="4.109375" customWidth="1" style="3" min="3846" max="3846"/>
    <col width="8" customWidth="1" style="3" min="3847" max="3847"/>
    <col width="8.109375" customWidth="1" style="3" min="3848" max="3849"/>
    <col width="9.109375" customWidth="1" style="3" min="3850" max="3850"/>
    <col width="8.77734375" customWidth="1" style="3" min="3851" max="3851"/>
    <col width="6.44140625" customWidth="1" style="3" min="3852" max="3852"/>
    <col width="26.109375" customWidth="1" style="3" min="3853" max="3853"/>
    <col width="7.109375" customWidth="1" style="3" min="3854" max="3854"/>
    <col width="11.109375" customWidth="1" style="3" min="3855" max="3855"/>
    <col width="5.109375" bestFit="1" customWidth="1" style="3" min="3856" max="3856"/>
    <col width="8.77734375" customWidth="1" style="3" min="3857" max="3860"/>
    <col width="7.44140625" bestFit="1" customWidth="1" style="3" min="3861" max="3861"/>
    <col width="9.109375" bestFit="1" customWidth="1" style="3" min="3862" max="3866"/>
    <col width="8.77734375" customWidth="1" style="3" min="3867" max="4099"/>
    <col width="4.33203125" customWidth="1" style="3" min="4100" max="4100"/>
    <col width="4" customWidth="1" style="3" min="4101" max="4101"/>
    <col width="4.109375" customWidth="1" style="3" min="4102" max="4102"/>
    <col width="8" customWidth="1" style="3" min="4103" max="4103"/>
    <col width="8.109375" customWidth="1" style="3" min="4104" max="4105"/>
    <col width="9.109375" customWidth="1" style="3" min="4106" max="4106"/>
    <col width="8.77734375" customWidth="1" style="3" min="4107" max="4107"/>
    <col width="6.44140625" customWidth="1" style="3" min="4108" max="4108"/>
    <col width="26.109375" customWidth="1" style="3" min="4109" max="4109"/>
    <col width="7.109375" customWidth="1" style="3" min="4110" max="4110"/>
    <col width="11.109375" customWidth="1" style="3" min="4111" max="4111"/>
    <col width="5.109375" bestFit="1" customWidth="1" style="3" min="4112" max="4112"/>
    <col width="8.77734375" customWidth="1" style="3" min="4113" max="4116"/>
    <col width="7.44140625" bestFit="1" customWidth="1" style="3" min="4117" max="4117"/>
    <col width="9.109375" bestFit="1" customWidth="1" style="3" min="4118" max="4122"/>
    <col width="8.77734375" customWidth="1" style="3" min="4123" max="4355"/>
    <col width="4.33203125" customWidth="1" style="3" min="4356" max="4356"/>
    <col width="4" customWidth="1" style="3" min="4357" max="4357"/>
    <col width="4.109375" customWidth="1" style="3" min="4358" max="4358"/>
    <col width="8" customWidth="1" style="3" min="4359" max="4359"/>
    <col width="8.109375" customWidth="1" style="3" min="4360" max="4361"/>
    <col width="9.109375" customWidth="1" style="3" min="4362" max="4362"/>
    <col width="8.77734375" customWidth="1" style="3" min="4363" max="4363"/>
    <col width="6.44140625" customWidth="1" style="3" min="4364" max="4364"/>
    <col width="26.109375" customWidth="1" style="3" min="4365" max="4365"/>
    <col width="7.109375" customWidth="1" style="3" min="4366" max="4366"/>
    <col width="11.109375" customWidth="1" style="3" min="4367" max="4367"/>
    <col width="5.109375" bestFit="1" customWidth="1" style="3" min="4368" max="4368"/>
    <col width="8.77734375" customWidth="1" style="3" min="4369" max="4372"/>
    <col width="7.44140625" bestFit="1" customWidth="1" style="3" min="4373" max="4373"/>
    <col width="9.109375" bestFit="1" customWidth="1" style="3" min="4374" max="4378"/>
    <col width="8.77734375" customWidth="1" style="3" min="4379" max="4611"/>
    <col width="4.33203125" customWidth="1" style="3" min="4612" max="4612"/>
    <col width="4" customWidth="1" style="3" min="4613" max="4613"/>
    <col width="4.109375" customWidth="1" style="3" min="4614" max="4614"/>
    <col width="8" customWidth="1" style="3" min="4615" max="4615"/>
    <col width="8.109375" customWidth="1" style="3" min="4616" max="4617"/>
    <col width="9.109375" customWidth="1" style="3" min="4618" max="4618"/>
    <col width="8.77734375" customWidth="1" style="3" min="4619" max="4619"/>
    <col width="6.44140625" customWidth="1" style="3" min="4620" max="4620"/>
    <col width="26.109375" customWidth="1" style="3" min="4621" max="4621"/>
    <col width="7.109375" customWidth="1" style="3" min="4622" max="4622"/>
    <col width="11.109375" customWidth="1" style="3" min="4623" max="4623"/>
    <col width="5.109375" bestFit="1" customWidth="1" style="3" min="4624" max="4624"/>
    <col width="8.77734375" customWidth="1" style="3" min="4625" max="4628"/>
    <col width="7.44140625" bestFit="1" customWidth="1" style="3" min="4629" max="4629"/>
    <col width="9.109375" bestFit="1" customWidth="1" style="3" min="4630" max="4634"/>
    <col width="8.77734375" customWidth="1" style="3" min="4635" max="4867"/>
    <col width="4.33203125" customWidth="1" style="3" min="4868" max="4868"/>
    <col width="4" customWidth="1" style="3" min="4869" max="4869"/>
    <col width="4.109375" customWidth="1" style="3" min="4870" max="4870"/>
    <col width="8" customWidth="1" style="3" min="4871" max="4871"/>
    <col width="8.109375" customWidth="1" style="3" min="4872" max="4873"/>
    <col width="9.109375" customWidth="1" style="3" min="4874" max="4874"/>
    <col width="8.77734375" customWidth="1" style="3" min="4875" max="4875"/>
    <col width="6.44140625" customWidth="1" style="3" min="4876" max="4876"/>
    <col width="26.109375" customWidth="1" style="3" min="4877" max="4877"/>
    <col width="7.109375" customWidth="1" style="3" min="4878" max="4878"/>
    <col width="11.109375" customWidth="1" style="3" min="4879" max="4879"/>
    <col width="5.109375" bestFit="1" customWidth="1" style="3" min="4880" max="4880"/>
    <col width="8.77734375" customWidth="1" style="3" min="4881" max="4884"/>
    <col width="7.44140625" bestFit="1" customWidth="1" style="3" min="4885" max="4885"/>
    <col width="9.109375" bestFit="1" customWidth="1" style="3" min="4886" max="4890"/>
    <col width="8.77734375" customWidth="1" style="3" min="4891" max="5123"/>
    <col width="4.33203125" customWidth="1" style="3" min="5124" max="5124"/>
    <col width="4" customWidth="1" style="3" min="5125" max="5125"/>
    <col width="4.109375" customWidth="1" style="3" min="5126" max="5126"/>
    <col width="8" customWidth="1" style="3" min="5127" max="5127"/>
    <col width="8.109375" customWidth="1" style="3" min="5128" max="5129"/>
    <col width="9.109375" customWidth="1" style="3" min="5130" max="5130"/>
    <col width="8.77734375" customWidth="1" style="3" min="5131" max="5131"/>
    <col width="6.44140625" customWidth="1" style="3" min="5132" max="5132"/>
    <col width="26.109375" customWidth="1" style="3" min="5133" max="5133"/>
    <col width="7.109375" customWidth="1" style="3" min="5134" max="5134"/>
    <col width="11.109375" customWidth="1" style="3" min="5135" max="5135"/>
    <col width="5.109375" bestFit="1" customWidth="1" style="3" min="5136" max="5136"/>
    <col width="8.77734375" customWidth="1" style="3" min="5137" max="5140"/>
    <col width="7.44140625" bestFit="1" customWidth="1" style="3" min="5141" max="5141"/>
    <col width="9.109375" bestFit="1" customWidth="1" style="3" min="5142" max="5146"/>
    <col width="8.77734375" customWidth="1" style="3" min="5147" max="5379"/>
    <col width="4.33203125" customWidth="1" style="3" min="5380" max="5380"/>
    <col width="4" customWidth="1" style="3" min="5381" max="5381"/>
    <col width="4.109375" customWidth="1" style="3" min="5382" max="5382"/>
    <col width="8" customWidth="1" style="3" min="5383" max="5383"/>
    <col width="8.109375" customWidth="1" style="3" min="5384" max="5385"/>
    <col width="9.109375" customWidth="1" style="3" min="5386" max="5386"/>
    <col width="8.77734375" customWidth="1" style="3" min="5387" max="5387"/>
    <col width="6.44140625" customWidth="1" style="3" min="5388" max="5388"/>
    <col width="26.109375" customWidth="1" style="3" min="5389" max="5389"/>
    <col width="7.109375" customWidth="1" style="3" min="5390" max="5390"/>
    <col width="11.109375" customWidth="1" style="3" min="5391" max="5391"/>
    <col width="5.109375" bestFit="1" customWidth="1" style="3" min="5392" max="5392"/>
    <col width="8.77734375" customWidth="1" style="3" min="5393" max="5396"/>
    <col width="7.44140625" bestFit="1" customWidth="1" style="3" min="5397" max="5397"/>
    <col width="9.109375" bestFit="1" customWidth="1" style="3" min="5398" max="5402"/>
    <col width="8.77734375" customWidth="1" style="3" min="5403" max="5635"/>
    <col width="4.33203125" customWidth="1" style="3" min="5636" max="5636"/>
    <col width="4" customWidth="1" style="3" min="5637" max="5637"/>
    <col width="4.109375" customWidth="1" style="3" min="5638" max="5638"/>
    <col width="8" customWidth="1" style="3" min="5639" max="5639"/>
    <col width="8.109375" customWidth="1" style="3" min="5640" max="5641"/>
    <col width="9.109375" customWidth="1" style="3" min="5642" max="5642"/>
    <col width="8.77734375" customWidth="1" style="3" min="5643" max="5643"/>
    <col width="6.44140625" customWidth="1" style="3" min="5644" max="5644"/>
    <col width="26.109375" customWidth="1" style="3" min="5645" max="5645"/>
    <col width="7.109375" customWidth="1" style="3" min="5646" max="5646"/>
    <col width="11.109375" customWidth="1" style="3" min="5647" max="5647"/>
    <col width="5.109375" bestFit="1" customWidth="1" style="3" min="5648" max="5648"/>
    <col width="8.77734375" customWidth="1" style="3" min="5649" max="5652"/>
    <col width="7.44140625" bestFit="1" customWidth="1" style="3" min="5653" max="5653"/>
    <col width="9.109375" bestFit="1" customWidth="1" style="3" min="5654" max="5658"/>
    <col width="8.77734375" customWidth="1" style="3" min="5659" max="5891"/>
    <col width="4.33203125" customWidth="1" style="3" min="5892" max="5892"/>
    <col width="4" customWidth="1" style="3" min="5893" max="5893"/>
    <col width="4.109375" customWidth="1" style="3" min="5894" max="5894"/>
    <col width="8" customWidth="1" style="3" min="5895" max="5895"/>
    <col width="8.109375" customWidth="1" style="3" min="5896" max="5897"/>
    <col width="9.109375" customWidth="1" style="3" min="5898" max="5898"/>
    <col width="8.77734375" customWidth="1" style="3" min="5899" max="5899"/>
    <col width="6.44140625" customWidth="1" style="3" min="5900" max="5900"/>
    <col width="26.109375" customWidth="1" style="3" min="5901" max="5901"/>
    <col width="7.109375" customWidth="1" style="3" min="5902" max="5902"/>
    <col width="11.109375" customWidth="1" style="3" min="5903" max="5903"/>
    <col width="5.109375" bestFit="1" customWidth="1" style="3" min="5904" max="5904"/>
    <col width="8.77734375" customWidth="1" style="3" min="5905" max="5908"/>
    <col width="7.44140625" bestFit="1" customWidth="1" style="3" min="5909" max="5909"/>
    <col width="9.109375" bestFit="1" customWidth="1" style="3" min="5910" max="5914"/>
    <col width="8.77734375" customWidth="1" style="3" min="5915" max="6147"/>
    <col width="4.33203125" customWidth="1" style="3" min="6148" max="6148"/>
    <col width="4" customWidth="1" style="3" min="6149" max="6149"/>
    <col width="4.109375" customWidth="1" style="3" min="6150" max="6150"/>
    <col width="8" customWidth="1" style="3" min="6151" max="6151"/>
    <col width="8.109375" customWidth="1" style="3" min="6152" max="6153"/>
    <col width="9.109375" customWidth="1" style="3" min="6154" max="6154"/>
    <col width="8.77734375" customWidth="1" style="3" min="6155" max="6155"/>
    <col width="6.44140625" customWidth="1" style="3" min="6156" max="6156"/>
    <col width="26.109375" customWidth="1" style="3" min="6157" max="6157"/>
    <col width="7.109375" customWidth="1" style="3" min="6158" max="6158"/>
    <col width="11.109375" customWidth="1" style="3" min="6159" max="6159"/>
    <col width="5.109375" bestFit="1" customWidth="1" style="3" min="6160" max="6160"/>
    <col width="8.77734375" customWidth="1" style="3" min="6161" max="6164"/>
    <col width="7.44140625" bestFit="1" customWidth="1" style="3" min="6165" max="6165"/>
    <col width="9.109375" bestFit="1" customWidth="1" style="3" min="6166" max="6170"/>
    <col width="8.77734375" customWidth="1" style="3" min="6171" max="6403"/>
    <col width="4.33203125" customWidth="1" style="3" min="6404" max="6404"/>
    <col width="4" customWidth="1" style="3" min="6405" max="6405"/>
    <col width="4.109375" customWidth="1" style="3" min="6406" max="6406"/>
    <col width="8" customWidth="1" style="3" min="6407" max="6407"/>
    <col width="8.109375" customWidth="1" style="3" min="6408" max="6409"/>
    <col width="9.109375" customWidth="1" style="3" min="6410" max="6410"/>
    <col width="8.77734375" customWidth="1" style="3" min="6411" max="6411"/>
    <col width="6.44140625" customWidth="1" style="3" min="6412" max="6412"/>
    <col width="26.109375" customWidth="1" style="3" min="6413" max="6413"/>
    <col width="7.109375" customWidth="1" style="3" min="6414" max="6414"/>
    <col width="11.109375" customWidth="1" style="3" min="6415" max="6415"/>
    <col width="5.109375" bestFit="1" customWidth="1" style="3" min="6416" max="6416"/>
    <col width="8.77734375" customWidth="1" style="3" min="6417" max="6420"/>
    <col width="7.44140625" bestFit="1" customWidth="1" style="3" min="6421" max="6421"/>
    <col width="9.109375" bestFit="1" customWidth="1" style="3" min="6422" max="6426"/>
    <col width="8.77734375" customWidth="1" style="3" min="6427" max="6659"/>
    <col width="4.33203125" customWidth="1" style="3" min="6660" max="6660"/>
    <col width="4" customWidth="1" style="3" min="6661" max="6661"/>
    <col width="4.109375" customWidth="1" style="3" min="6662" max="6662"/>
    <col width="8" customWidth="1" style="3" min="6663" max="6663"/>
    <col width="8.109375" customWidth="1" style="3" min="6664" max="6665"/>
    <col width="9.109375" customWidth="1" style="3" min="6666" max="6666"/>
    <col width="8.77734375" customWidth="1" style="3" min="6667" max="6667"/>
    <col width="6.44140625" customWidth="1" style="3" min="6668" max="6668"/>
    <col width="26.109375" customWidth="1" style="3" min="6669" max="6669"/>
    <col width="7.109375" customWidth="1" style="3" min="6670" max="6670"/>
    <col width="11.109375" customWidth="1" style="3" min="6671" max="6671"/>
    <col width="5.109375" bestFit="1" customWidth="1" style="3" min="6672" max="6672"/>
    <col width="8.77734375" customWidth="1" style="3" min="6673" max="6676"/>
    <col width="7.44140625" bestFit="1" customWidth="1" style="3" min="6677" max="6677"/>
    <col width="9.109375" bestFit="1" customWidth="1" style="3" min="6678" max="6682"/>
    <col width="8.77734375" customWidth="1" style="3" min="6683" max="6915"/>
    <col width="4.33203125" customWidth="1" style="3" min="6916" max="6916"/>
    <col width="4" customWidth="1" style="3" min="6917" max="6917"/>
    <col width="4.109375" customWidth="1" style="3" min="6918" max="6918"/>
    <col width="8" customWidth="1" style="3" min="6919" max="6919"/>
    <col width="8.109375" customWidth="1" style="3" min="6920" max="6921"/>
    <col width="9.109375" customWidth="1" style="3" min="6922" max="6922"/>
    <col width="8.77734375" customWidth="1" style="3" min="6923" max="6923"/>
    <col width="6.44140625" customWidth="1" style="3" min="6924" max="6924"/>
    <col width="26.109375" customWidth="1" style="3" min="6925" max="6925"/>
    <col width="7.109375" customWidth="1" style="3" min="6926" max="6926"/>
    <col width="11.109375" customWidth="1" style="3" min="6927" max="6927"/>
    <col width="5.109375" bestFit="1" customWidth="1" style="3" min="6928" max="6928"/>
    <col width="8.77734375" customWidth="1" style="3" min="6929" max="6932"/>
    <col width="7.44140625" bestFit="1" customWidth="1" style="3" min="6933" max="6933"/>
    <col width="9.109375" bestFit="1" customWidth="1" style="3" min="6934" max="6938"/>
    <col width="8.77734375" customWidth="1" style="3" min="6939" max="7171"/>
    <col width="4.33203125" customWidth="1" style="3" min="7172" max="7172"/>
    <col width="4" customWidth="1" style="3" min="7173" max="7173"/>
    <col width="4.109375" customWidth="1" style="3" min="7174" max="7174"/>
    <col width="8" customWidth="1" style="3" min="7175" max="7175"/>
    <col width="8.109375" customWidth="1" style="3" min="7176" max="7177"/>
    <col width="9.109375" customWidth="1" style="3" min="7178" max="7178"/>
    <col width="8.77734375" customWidth="1" style="3" min="7179" max="7179"/>
    <col width="6.44140625" customWidth="1" style="3" min="7180" max="7180"/>
    <col width="26.109375" customWidth="1" style="3" min="7181" max="7181"/>
    <col width="7.109375" customWidth="1" style="3" min="7182" max="7182"/>
    <col width="11.109375" customWidth="1" style="3" min="7183" max="7183"/>
    <col width="5.109375" bestFit="1" customWidth="1" style="3" min="7184" max="7184"/>
    <col width="8.77734375" customWidth="1" style="3" min="7185" max="7188"/>
    <col width="7.44140625" bestFit="1" customWidth="1" style="3" min="7189" max="7189"/>
    <col width="9.109375" bestFit="1" customWidth="1" style="3" min="7190" max="7194"/>
    <col width="8.77734375" customWidth="1" style="3" min="7195" max="7427"/>
    <col width="4.33203125" customWidth="1" style="3" min="7428" max="7428"/>
    <col width="4" customWidth="1" style="3" min="7429" max="7429"/>
    <col width="4.109375" customWidth="1" style="3" min="7430" max="7430"/>
    <col width="8" customWidth="1" style="3" min="7431" max="7431"/>
    <col width="8.109375" customWidth="1" style="3" min="7432" max="7433"/>
    <col width="9.109375" customWidth="1" style="3" min="7434" max="7434"/>
    <col width="8.77734375" customWidth="1" style="3" min="7435" max="7435"/>
    <col width="6.44140625" customWidth="1" style="3" min="7436" max="7436"/>
    <col width="26.109375" customWidth="1" style="3" min="7437" max="7437"/>
    <col width="7.109375" customWidth="1" style="3" min="7438" max="7438"/>
    <col width="11.109375" customWidth="1" style="3" min="7439" max="7439"/>
    <col width="5.109375" bestFit="1" customWidth="1" style="3" min="7440" max="7440"/>
    <col width="8.77734375" customWidth="1" style="3" min="7441" max="7444"/>
    <col width="7.44140625" bestFit="1" customWidth="1" style="3" min="7445" max="7445"/>
    <col width="9.109375" bestFit="1" customWidth="1" style="3" min="7446" max="7450"/>
    <col width="8.77734375" customWidth="1" style="3" min="7451" max="7683"/>
    <col width="4.33203125" customWidth="1" style="3" min="7684" max="7684"/>
    <col width="4" customWidth="1" style="3" min="7685" max="7685"/>
    <col width="4.109375" customWidth="1" style="3" min="7686" max="7686"/>
    <col width="8" customWidth="1" style="3" min="7687" max="7687"/>
    <col width="8.109375" customWidth="1" style="3" min="7688" max="7689"/>
    <col width="9.109375" customWidth="1" style="3" min="7690" max="7690"/>
    <col width="8.77734375" customWidth="1" style="3" min="7691" max="7691"/>
    <col width="6.44140625" customWidth="1" style="3" min="7692" max="7692"/>
    <col width="26.109375" customWidth="1" style="3" min="7693" max="7693"/>
    <col width="7.109375" customWidth="1" style="3" min="7694" max="7694"/>
    <col width="11.109375" customWidth="1" style="3" min="7695" max="7695"/>
    <col width="5.109375" bestFit="1" customWidth="1" style="3" min="7696" max="7696"/>
    <col width="8.77734375" customWidth="1" style="3" min="7697" max="7700"/>
    <col width="7.44140625" bestFit="1" customWidth="1" style="3" min="7701" max="7701"/>
    <col width="9.109375" bestFit="1" customWidth="1" style="3" min="7702" max="7706"/>
    <col width="8.77734375" customWidth="1" style="3" min="7707" max="7939"/>
    <col width="4.33203125" customWidth="1" style="3" min="7940" max="7940"/>
    <col width="4" customWidth="1" style="3" min="7941" max="7941"/>
    <col width="4.109375" customWidth="1" style="3" min="7942" max="7942"/>
    <col width="8" customWidth="1" style="3" min="7943" max="7943"/>
    <col width="8.109375" customWidth="1" style="3" min="7944" max="7945"/>
    <col width="9.109375" customWidth="1" style="3" min="7946" max="7946"/>
    <col width="8.77734375" customWidth="1" style="3" min="7947" max="7947"/>
    <col width="6.44140625" customWidth="1" style="3" min="7948" max="7948"/>
    <col width="26.109375" customWidth="1" style="3" min="7949" max="7949"/>
    <col width="7.109375" customWidth="1" style="3" min="7950" max="7950"/>
    <col width="11.109375" customWidth="1" style="3" min="7951" max="7951"/>
    <col width="5.109375" bestFit="1" customWidth="1" style="3" min="7952" max="7952"/>
    <col width="8.77734375" customWidth="1" style="3" min="7953" max="7956"/>
    <col width="7.44140625" bestFit="1" customWidth="1" style="3" min="7957" max="7957"/>
    <col width="9.109375" bestFit="1" customWidth="1" style="3" min="7958" max="7962"/>
    <col width="8.77734375" customWidth="1" style="3" min="7963" max="8195"/>
    <col width="4.33203125" customWidth="1" style="3" min="8196" max="8196"/>
    <col width="4" customWidth="1" style="3" min="8197" max="8197"/>
    <col width="4.109375" customWidth="1" style="3" min="8198" max="8198"/>
    <col width="8" customWidth="1" style="3" min="8199" max="8199"/>
    <col width="8.109375" customWidth="1" style="3" min="8200" max="8201"/>
    <col width="9.109375" customWidth="1" style="3" min="8202" max="8202"/>
    <col width="8.77734375" customWidth="1" style="3" min="8203" max="8203"/>
    <col width="6.44140625" customWidth="1" style="3" min="8204" max="8204"/>
    <col width="26.109375" customWidth="1" style="3" min="8205" max="8205"/>
    <col width="7.109375" customWidth="1" style="3" min="8206" max="8206"/>
    <col width="11.109375" customWidth="1" style="3" min="8207" max="8207"/>
    <col width="5.109375" bestFit="1" customWidth="1" style="3" min="8208" max="8208"/>
    <col width="8.77734375" customWidth="1" style="3" min="8209" max="8212"/>
    <col width="7.44140625" bestFit="1" customWidth="1" style="3" min="8213" max="8213"/>
    <col width="9.109375" bestFit="1" customWidth="1" style="3" min="8214" max="8218"/>
    <col width="8.77734375" customWidth="1" style="3" min="8219" max="8451"/>
    <col width="4.33203125" customWidth="1" style="3" min="8452" max="8452"/>
    <col width="4" customWidth="1" style="3" min="8453" max="8453"/>
    <col width="4.109375" customWidth="1" style="3" min="8454" max="8454"/>
    <col width="8" customWidth="1" style="3" min="8455" max="8455"/>
    <col width="8.109375" customWidth="1" style="3" min="8456" max="8457"/>
    <col width="9.109375" customWidth="1" style="3" min="8458" max="8458"/>
    <col width="8.77734375" customWidth="1" style="3" min="8459" max="8459"/>
    <col width="6.44140625" customWidth="1" style="3" min="8460" max="8460"/>
    <col width="26.109375" customWidth="1" style="3" min="8461" max="8461"/>
    <col width="7.109375" customWidth="1" style="3" min="8462" max="8462"/>
    <col width="11.109375" customWidth="1" style="3" min="8463" max="8463"/>
    <col width="5.109375" bestFit="1" customWidth="1" style="3" min="8464" max="8464"/>
    <col width="8.77734375" customWidth="1" style="3" min="8465" max="8468"/>
    <col width="7.44140625" bestFit="1" customWidth="1" style="3" min="8469" max="8469"/>
    <col width="9.109375" bestFit="1" customWidth="1" style="3" min="8470" max="8474"/>
    <col width="8.77734375" customWidth="1" style="3" min="8475" max="8707"/>
    <col width="4.33203125" customWidth="1" style="3" min="8708" max="8708"/>
    <col width="4" customWidth="1" style="3" min="8709" max="8709"/>
    <col width="4.109375" customWidth="1" style="3" min="8710" max="8710"/>
    <col width="8" customWidth="1" style="3" min="8711" max="8711"/>
    <col width="8.109375" customWidth="1" style="3" min="8712" max="8713"/>
    <col width="9.109375" customWidth="1" style="3" min="8714" max="8714"/>
    <col width="8.77734375" customWidth="1" style="3" min="8715" max="8715"/>
    <col width="6.44140625" customWidth="1" style="3" min="8716" max="8716"/>
    <col width="26.109375" customWidth="1" style="3" min="8717" max="8717"/>
    <col width="7.109375" customWidth="1" style="3" min="8718" max="8718"/>
    <col width="11.109375" customWidth="1" style="3" min="8719" max="8719"/>
    <col width="5.109375" bestFit="1" customWidth="1" style="3" min="8720" max="8720"/>
    <col width="8.77734375" customWidth="1" style="3" min="8721" max="8724"/>
    <col width="7.44140625" bestFit="1" customWidth="1" style="3" min="8725" max="8725"/>
    <col width="9.109375" bestFit="1" customWidth="1" style="3" min="8726" max="8730"/>
    <col width="8.77734375" customWidth="1" style="3" min="8731" max="8963"/>
    <col width="4.33203125" customWidth="1" style="3" min="8964" max="8964"/>
    <col width="4" customWidth="1" style="3" min="8965" max="8965"/>
    <col width="4.109375" customWidth="1" style="3" min="8966" max="8966"/>
    <col width="8" customWidth="1" style="3" min="8967" max="8967"/>
    <col width="8.109375" customWidth="1" style="3" min="8968" max="8969"/>
    <col width="9.109375" customWidth="1" style="3" min="8970" max="8970"/>
    <col width="8.77734375" customWidth="1" style="3" min="8971" max="8971"/>
    <col width="6.44140625" customWidth="1" style="3" min="8972" max="8972"/>
    <col width="26.109375" customWidth="1" style="3" min="8973" max="8973"/>
    <col width="7.109375" customWidth="1" style="3" min="8974" max="8974"/>
    <col width="11.109375" customWidth="1" style="3" min="8975" max="8975"/>
    <col width="5.109375" bestFit="1" customWidth="1" style="3" min="8976" max="8976"/>
    <col width="8.77734375" customWidth="1" style="3" min="8977" max="8980"/>
    <col width="7.44140625" bestFit="1" customWidth="1" style="3" min="8981" max="8981"/>
    <col width="9.109375" bestFit="1" customWidth="1" style="3" min="8982" max="8986"/>
    <col width="8.77734375" customWidth="1" style="3" min="8987" max="9219"/>
    <col width="4.33203125" customWidth="1" style="3" min="9220" max="9220"/>
    <col width="4" customWidth="1" style="3" min="9221" max="9221"/>
    <col width="4.109375" customWidth="1" style="3" min="9222" max="9222"/>
    <col width="8" customWidth="1" style="3" min="9223" max="9223"/>
    <col width="8.109375" customWidth="1" style="3" min="9224" max="9225"/>
    <col width="9.109375" customWidth="1" style="3" min="9226" max="9226"/>
    <col width="8.77734375" customWidth="1" style="3" min="9227" max="9227"/>
    <col width="6.44140625" customWidth="1" style="3" min="9228" max="9228"/>
    <col width="26.109375" customWidth="1" style="3" min="9229" max="9229"/>
    <col width="7.109375" customWidth="1" style="3" min="9230" max="9230"/>
    <col width="11.109375" customWidth="1" style="3" min="9231" max="9231"/>
    <col width="5.109375" bestFit="1" customWidth="1" style="3" min="9232" max="9232"/>
    <col width="8.77734375" customWidth="1" style="3" min="9233" max="9236"/>
    <col width="7.44140625" bestFit="1" customWidth="1" style="3" min="9237" max="9237"/>
    <col width="9.109375" bestFit="1" customWidth="1" style="3" min="9238" max="9242"/>
    <col width="8.77734375" customWidth="1" style="3" min="9243" max="9475"/>
    <col width="4.33203125" customWidth="1" style="3" min="9476" max="9476"/>
    <col width="4" customWidth="1" style="3" min="9477" max="9477"/>
    <col width="4.109375" customWidth="1" style="3" min="9478" max="9478"/>
    <col width="8" customWidth="1" style="3" min="9479" max="9479"/>
    <col width="8.109375" customWidth="1" style="3" min="9480" max="9481"/>
    <col width="9.109375" customWidth="1" style="3" min="9482" max="9482"/>
    <col width="8.77734375" customWidth="1" style="3" min="9483" max="9483"/>
    <col width="6.44140625" customWidth="1" style="3" min="9484" max="9484"/>
    <col width="26.109375" customWidth="1" style="3" min="9485" max="9485"/>
    <col width="7.109375" customWidth="1" style="3" min="9486" max="9486"/>
    <col width="11.109375" customWidth="1" style="3" min="9487" max="9487"/>
    <col width="5.109375" bestFit="1" customWidth="1" style="3" min="9488" max="9488"/>
    <col width="8.77734375" customWidth="1" style="3" min="9489" max="9492"/>
    <col width="7.44140625" bestFit="1" customWidth="1" style="3" min="9493" max="9493"/>
    <col width="9.109375" bestFit="1" customWidth="1" style="3" min="9494" max="9498"/>
    <col width="8.77734375" customWidth="1" style="3" min="9499" max="9731"/>
    <col width="4.33203125" customWidth="1" style="3" min="9732" max="9732"/>
    <col width="4" customWidth="1" style="3" min="9733" max="9733"/>
    <col width="4.109375" customWidth="1" style="3" min="9734" max="9734"/>
    <col width="8" customWidth="1" style="3" min="9735" max="9735"/>
    <col width="8.109375" customWidth="1" style="3" min="9736" max="9737"/>
    <col width="9.109375" customWidth="1" style="3" min="9738" max="9738"/>
    <col width="8.77734375" customWidth="1" style="3" min="9739" max="9739"/>
    <col width="6.44140625" customWidth="1" style="3" min="9740" max="9740"/>
    <col width="26.109375" customWidth="1" style="3" min="9741" max="9741"/>
    <col width="7.109375" customWidth="1" style="3" min="9742" max="9742"/>
    <col width="11.109375" customWidth="1" style="3" min="9743" max="9743"/>
    <col width="5.109375" bestFit="1" customWidth="1" style="3" min="9744" max="9744"/>
    <col width="8.77734375" customWidth="1" style="3" min="9745" max="9748"/>
    <col width="7.44140625" bestFit="1" customWidth="1" style="3" min="9749" max="9749"/>
    <col width="9.109375" bestFit="1" customWidth="1" style="3" min="9750" max="9754"/>
    <col width="8.77734375" customWidth="1" style="3" min="9755" max="9987"/>
    <col width="4.33203125" customWidth="1" style="3" min="9988" max="9988"/>
    <col width="4" customWidth="1" style="3" min="9989" max="9989"/>
    <col width="4.109375" customWidth="1" style="3" min="9990" max="9990"/>
    <col width="8" customWidth="1" style="3" min="9991" max="9991"/>
    <col width="8.109375" customWidth="1" style="3" min="9992" max="9993"/>
    <col width="9.109375" customWidth="1" style="3" min="9994" max="9994"/>
    <col width="8.77734375" customWidth="1" style="3" min="9995" max="9995"/>
    <col width="6.44140625" customWidth="1" style="3" min="9996" max="9996"/>
    <col width="26.109375" customWidth="1" style="3" min="9997" max="9997"/>
    <col width="7.109375" customWidth="1" style="3" min="9998" max="9998"/>
    <col width="11.109375" customWidth="1" style="3" min="9999" max="9999"/>
    <col width="5.109375" bestFit="1" customWidth="1" style="3" min="10000" max="10000"/>
    <col width="8.77734375" customWidth="1" style="3" min="10001" max="10004"/>
    <col width="7.44140625" bestFit="1" customWidth="1" style="3" min="10005" max="10005"/>
    <col width="9.109375" bestFit="1" customWidth="1" style="3" min="10006" max="10010"/>
    <col width="8.77734375" customWidth="1" style="3" min="10011" max="10243"/>
    <col width="4.33203125" customWidth="1" style="3" min="10244" max="10244"/>
    <col width="4" customWidth="1" style="3" min="10245" max="10245"/>
    <col width="4.109375" customWidth="1" style="3" min="10246" max="10246"/>
    <col width="8" customWidth="1" style="3" min="10247" max="10247"/>
    <col width="8.109375" customWidth="1" style="3" min="10248" max="10249"/>
    <col width="9.109375" customWidth="1" style="3" min="10250" max="10250"/>
    <col width="8.77734375" customWidth="1" style="3" min="10251" max="10251"/>
    <col width="6.44140625" customWidth="1" style="3" min="10252" max="10252"/>
    <col width="26.109375" customWidth="1" style="3" min="10253" max="10253"/>
    <col width="7.109375" customWidth="1" style="3" min="10254" max="10254"/>
    <col width="11.109375" customWidth="1" style="3" min="10255" max="10255"/>
    <col width="5.109375" bestFit="1" customWidth="1" style="3" min="10256" max="10256"/>
    <col width="8.77734375" customWidth="1" style="3" min="10257" max="10260"/>
    <col width="7.44140625" bestFit="1" customWidth="1" style="3" min="10261" max="10261"/>
    <col width="9.109375" bestFit="1" customWidth="1" style="3" min="10262" max="10266"/>
    <col width="8.77734375" customWidth="1" style="3" min="10267" max="10499"/>
    <col width="4.33203125" customWidth="1" style="3" min="10500" max="10500"/>
    <col width="4" customWidth="1" style="3" min="10501" max="10501"/>
    <col width="4.109375" customWidth="1" style="3" min="10502" max="10502"/>
    <col width="8" customWidth="1" style="3" min="10503" max="10503"/>
    <col width="8.109375" customWidth="1" style="3" min="10504" max="10505"/>
    <col width="9.109375" customWidth="1" style="3" min="10506" max="10506"/>
    <col width="8.77734375" customWidth="1" style="3" min="10507" max="10507"/>
    <col width="6.44140625" customWidth="1" style="3" min="10508" max="10508"/>
    <col width="26.109375" customWidth="1" style="3" min="10509" max="10509"/>
    <col width="7.109375" customWidth="1" style="3" min="10510" max="10510"/>
    <col width="11.109375" customWidth="1" style="3" min="10511" max="10511"/>
    <col width="5.109375" bestFit="1" customWidth="1" style="3" min="10512" max="10512"/>
    <col width="8.77734375" customWidth="1" style="3" min="10513" max="10516"/>
    <col width="7.44140625" bestFit="1" customWidth="1" style="3" min="10517" max="10517"/>
    <col width="9.109375" bestFit="1" customWidth="1" style="3" min="10518" max="10522"/>
    <col width="8.77734375" customWidth="1" style="3" min="10523" max="10755"/>
    <col width="4.33203125" customWidth="1" style="3" min="10756" max="10756"/>
    <col width="4" customWidth="1" style="3" min="10757" max="10757"/>
    <col width="4.109375" customWidth="1" style="3" min="10758" max="10758"/>
    <col width="8" customWidth="1" style="3" min="10759" max="10759"/>
    <col width="8.109375" customWidth="1" style="3" min="10760" max="10761"/>
    <col width="9.109375" customWidth="1" style="3" min="10762" max="10762"/>
    <col width="8.77734375" customWidth="1" style="3" min="10763" max="10763"/>
    <col width="6.44140625" customWidth="1" style="3" min="10764" max="10764"/>
    <col width="26.109375" customWidth="1" style="3" min="10765" max="10765"/>
    <col width="7.109375" customWidth="1" style="3" min="10766" max="10766"/>
    <col width="11.109375" customWidth="1" style="3" min="10767" max="10767"/>
    <col width="5.109375" bestFit="1" customWidth="1" style="3" min="10768" max="10768"/>
    <col width="8.77734375" customWidth="1" style="3" min="10769" max="10772"/>
    <col width="7.44140625" bestFit="1" customWidth="1" style="3" min="10773" max="10773"/>
    <col width="9.109375" bestFit="1" customWidth="1" style="3" min="10774" max="10778"/>
    <col width="8.77734375" customWidth="1" style="3" min="10779" max="11011"/>
    <col width="4.33203125" customWidth="1" style="3" min="11012" max="11012"/>
    <col width="4" customWidth="1" style="3" min="11013" max="11013"/>
    <col width="4.109375" customWidth="1" style="3" min="11014" max="11014"/>
    <col width="8" customWidth="1" style="3" min="11015" max="11015"/>
    <col width="8.109375" customWidth="1" style="3" min="11016" max="11017"/>
    <col width="9.109375" customWidth="1" style="3" min="11018" max="11018"/>
    <col width="8.77734375" customWidth="1" style="3" min="11019" max="11019"/>
    <col width="6.44140625" customWidth="1" style="3" min="11020" max="11020"/>
    <col width="26.109375" customWidth="1" style="3" min="11021" max="11021"/>
    <col width="7.109375" customWidth="1" style="3" min="11022" max="11022"/>
    <col width="11.109375" customWidth="1" style="3" min="11023" max="11023"/>
    <col width="5.109375" bestFit="1" customWidth="1" style="3" min="11024" max="11024"/>
    <col width="8.77734375" customWidth="1" style="3" min="11025" max="11028"/>
    <col width="7.44140625" bestFit="1" customWidth="1" style="3" min="11029" max="11029"/>
    <col width="9.109375" bestFit="1" customWidth="1" style="3" min="11030" max="11034"/>
    <col width="8.77734375" customWidth="1" style="3" min="11035" max="11267"/>
    <col width="4.33203125" customWidth="1" style="3" min="11268" max="11268"/>
    <col width="4" customWidth="1" style="3" min="11269" max="11269"/>
    <col width="4.109375" customWidth="1" style="3" min="11270" max="11270"/>
    <col width="8" customWidth="1" style="3" min="11271" max="11271"/>
    <col width="8.109375" customWidth="1" style="3" min="11272" max="11273"/>
    <col width="9.109375" customWidth="1" style="3" min="11274" max="11274"/>
    <col width="8.77734375" customWidth="1" style="3" min="11275" max="11275"/>
    <col width="6.44140625" customWidth="1" style="3" min="11276" max="11276"/>
    <col width="26.109375" customWidth="1" style="3" min="11277" max="11277"/>
    <col width="7.109375" customWidth="1" style="3" min="11278" max="11278"/>
    <col width="11.109375" customWidth="1" style="3" min="11279" max="11279"/>
    <col width="5.109375" bestFit="1" customWidth="1" style="3" min="11280" max="11280"/>
    <col width="8.77734375" customWidth="1" style="3" min="11281" max="11284"/>
    <col width="7.44140625" bestFit="1" customWidth="1" style="3" min="11285" max="11285"/>
    <col width="9.109375" bestFit="1" customWidth="1" style="3" min="11286" max="11290"/>
    <col width="8.77734375" customWidth="1" style="3" min="11291" max="11523"/>
    <col width="4.33203125" customWidth="1" style="3" min="11524" max="11524"/>
    <col width="4" customWidth="1" style="3" min="11525" max="11525"/>
    <col width="4.109375" customWidth="1" style="3" min="11526" max="11526"/>
    <col width="8" customWidth="1" style="3" min="11527" max="11527"/>
    <col width="8.109375" customWidth="1" style="3" min="11528" max="11529"/>
    <col width="9.109375" customWidth="1" style="3" min="11530" max="11530"/>
    <col width="8.77734375" customWidth="1" style="3" min="11531" max="11531"/>
    <col width="6.44140625" customWidth="1" style="3" min="11532" max="11532"/>
    <col width="26.109375" customWidth="1" style="3" min="11533" max="11533"/>
    <col width="7.109375" customWidth="1" style="3" min="11534" max="11534"/>
    <col width="11.109375" customWidth="1" style="3" min="11535" max="11535"/>
    <col width="5.109375" bestFit="1" customWidth="1" style="3" min="11536" max="11536"/>
    <col width="8.77734375" customWidth="1" style="3" min="11537" max="11540"/>
    <col width="7.44140625" bestFit="1" customWidth="1" style="3" min="11541" max="11541"/>
    <col width="9.109375" bestFit="1" customWidth="1" style="3" min="11542" max="11546"/>
    <col width="8.77734375" customWidth="1" style="3" min="11547" max="11779"/>
    <col width="4.33203125" customWidth="1" style="3" min="11780" max="11780"/>
    <col width="4" customWidth="1" style="3" min="11781" max="11781"/>
    <col width="4.109375" customWidth="1" style="3" min="11782" max="11782"/>
    <col width="8" customWidth="1" style="3" min="11783" max="11783"/>
    <col width="8.109375" customWidth="1" style="3" min="11784" max="11785"/>
    <col width="9.109375" customWidth="1" style="3" min="11786" max="11786"/>
    <col width="8.77734375" customWidth="1" style="3" min="11787" max="11787"/>
    <col width="6.44140625" customWidth="1" style="3" min="11788" max="11788"/>
    <col width="26.109375" customWidth="1" style="3" min="11789" max="11789"/>
    <col width="7.109375" customWidth="1" style="3" min="11790" max="11790"/>
    <col width="11.109375" customWidth="1" style="3" min="11791" max="11791"/>
    <col width="5.109375" bestFit="1" customWidth="1" style="3" min="11792" max="11792"/>
    <col width="8.77734375" customWidth="1" style="3" min="11793" max="11796"/>
    <col width="7.44140625" bestFit="1" customWidth="1" style="3" min="11797" max="11797"/>
    <col width="9.109375" bestFit="1" customWidth="1" style="3" min="11798" max="11802"/>
    <col width="8.77734375" customWidth="1" style="3" min="11803" max="12035"/>
    <col width="4.33203125" customWidth="1" style="3" min="12036" max="12036"/>
    <col width="4" customWidth="1" style="3" min="12037" max="12037"/>
    <col width="4.109375" customWidth="1" style="3" min="12038" max="12038"/>
    <col width="8" customWidth="1" style="3" min="12039" max="12039"/>
    <col width="8.109375" customWidth="1" style="3" min="12040" max="12041"/>
    <col width="9.109375" customWidth="1" style="3" min="12042" max="12042"/>
    <col width="8.77734375" customWidth="1" style="3" min="12043" max="12043"/>
    <col width="6.44140625" customWidth="1" style="3" min="12044" max="12044"/>
    <col width="26.109375" customWidth="1" style="3" min="12045" max="12045"/>
    <col width="7.109375" customWidth="1" style="3" min="12046" max="12046"/>
    <col width="11.109375" customWidth="1" style="3" min="12047" max="12047"/>
    <col width="5.109375" bestFit="1" customWidth="1" style="3" min="12048" max="12048"/>
    <col width="8.77734375" customWidth="1" style="3" min="12049" max="12052"/>
    <col width="7.44140625" bestFit="1" customWidth="1" style="3" min="12053" max="12053"/>
    <col width="9.109375" bestFit="1" customWidth="1" style="3" min="12054" max="12058"/>
    <col width="8.77734375" customWidth="1" style="3" min="12059" max="12291"/>
    <col width="4.33203125" customWidth="1" style="3" min="12292" max="12292"/>
    <col width="4" customWidth="1" style="3" min="12293" max="12293"/>
    <col width="4.109375" customWidth="1" style="3" min="12294" max="12294"/>
    <col width="8" customWidth="1" style="3" min="12295" max="12295"/>
    <col width="8.109375" customWidth="1" style="3" min="12296" max="12297"/>
    <col width="9.109375" customWidth="1" style="3" min="12298" max="12298"/>
    <col width="8.77734375" customWidth="1" style="3" min="12299" max="12299"/>
    <col width="6.44140625" customWidth="1" style="3" min="12300" max="12300"/>
    <col width="26.109375" customWidth="1" style="3" min="12301" max="12301"/>
    <col width="7.109375" customWidth="1" style="3" min="12302" max="12302"/>
    <col width="11.109375" customWidth="1" style="3" min="12303" max="12303"/>
    <col width="5.109375" bestFit="1" customWidth="1" style="3" min="12304" max="12304"/>
    <col width="8.77734375" customWidth="1" style="3" min="12305" max="12308"/>
    <col width="7.44140625" bestFit="1" customWidth="1" style="3" min="12309" max="12309"/>
    <col width="9.109375" bestFit="1" customWidth="1" style="3" min="12310" max="12314"/>
    <col width="8.77734375" customWidth="1" style="3" min="12315" max="12547"/>
    <col width="4.33203125" customWidth="1" style="3" min="12548" max="12548"/>
    <col width="4" customWidth="1" style="3" min="12549" max="12549"/>
    <col width="4.109375" customWidth="1" style="3" min="12550" max="12550"/>
    <col width="8" customWidth="1" style="3" min="12551" max="12551"/>
    <col width="8.109375" customWidth="1" style="3" min="12552" max="12553"/>
    <col width="9.109375" customWidth="1" style="3" min="12554" max="12554"/>
    <col width="8.77734375" customWidth="1" style="3" min="12555" max="12555"/>
    <col width="6.44140625" customWidth="1" style="3" min="12556" max="12556"/>
    <col width="26.109375" customWidth="1" style="3" min="12557" max="12557"/>
    <col width="7.109375" customWidth="1" style="3" min="12558" max="12558"/>
    <col width="11.109375" customWidth="1" style="3" min="12559" max="12559"/>
    <col width="5.109375" bestFit="1" customWidth="1" style="3" min="12560" max="12560"/>
    <col width="8.77734375" customWidth="1" style="3" min="12561" max="12564"/>
    <col width="7.44140625" bestFit="1" customWidth="1" style="3" min="12565" max="12565"/>
    <col width="9.109375" bestFit="1" customWidth="1" style="3" min="12566" max="12570"/>
    <col width="8.77734375" customWidth="1" style="3" min="12571" max="12803"/>
    <col width="4.33203125" customWidth="1" style="3" min="12804" max="12804"/>
    <col width="4" customWidth="1" style="3" min="12805" max="12805"/>
    <col width="4.109375" customWidth="1" style="3" min="12806" max="12806"/>
    <col width="8" customWidth="1" style="3" min="12807" max="12807"/>
    <col width="8.109375" customWidth="1" style="3" min="12808" max="12809"/>
    <col width="9.109375" customWidth="1" style="3" min="12810" max="12810"/>
    <col width="8.77734375" customWidth="1" style="3" min="12811" max="12811"/>
    <col width="6.44140625" customWidth="1" style="3" min="12812" max="12812"/>
    <col width="26.109375" customWidth="1" style="3" min="12813" max="12813"/>
    <col width="7.109375" customWidth="1" style="3" min="12814" max="12814"/>
    <col width="11.109375" customWidth="1" style="3" min="12815" max="12815"/>
    <col width="5.109375" bestFit="1" customWidth="1" style="3" min="12816" max="12816"/>
    <col width="8.77734375" customWidth="1" style="3" min="12817" max="12820"/>
    <col width="7.44140625" bestFit="1" customWidth="1" style="3" min="12821" max="12821"/>
    <col width="9.109375" bestFit="1" customWidth="1" style="3" min="12822" max="12826"/>
    <col width="8.77734375" customWidth="1" style="3" min="12827" max="13059"/>
    <col width="4.33203125" customWidth="1" style="3" min="13060" max="13060"/>
    <col width="4" customWidth="1" style="3" min="13061" max="13061"/>
    <col width="4.109375" customWidth="1" style="3" min="13062" max="13062"/>
    <col width="8" customWidth="1" style="3" min="13063" max="13063"/>
    <col width="8.109375" customWidth="1" style="3" min="13064" max="13065"/>
    <col width="9.109375" customWidth="1" style="3" min="13066" max="13066"/>
    <col width="8.77734375" customWidth="1" style="3" min="13067" max="13067"/>
    <col width="6.44140625" customWidth="1" style="3" min="13068" max="13068"/>
    <col width="26.109375" customWidth="1" style="3" min="13069" max="13069"/>
    <col width="7.109375" customWidth="1" style="3" min="13070" max="13070"/>
    <col width="11.109375" customWidth="1" style="3" min="13071" max="13071"/>
    <col width="5.109375" bestFit="1" customWidth="1" style="3" min="13072" max="13072"/>
    <col width="8.77734375" customWidth="1" style="3" min="13073" max="13076"/>
    <col width="7.44140625" bestFit="1" customWidth="1" style="3" min="13077" max="13077"/>
    <col width="9.109375" bestFit="1" customWidth="1" style="3" min="13078" max="13082"/>
    <col width="8.77734375" customWidth="1" style="3" min="13083" max="13315"/>
    <col width="4.33203125" customWidth="1" style="3" min="13316" max="13316"/>
    <col width="4" customWidth="1" style="3" min="13317" max="13317"/>
    <col width="4.109375" customWidth="1" style="3" min="13318" max="13318"/>
    <col width="8" customWidth="1" style="3" min="13319" max="13319"/>
    <col width="8.109375" customWidth="1" style="3" min="13320" max="13321"/>
    <col width="9.109375" customWidth="1" style="3" min="13322" max="13322"/>
    <col width="8.77734375" customWidth="1" style="3" min="13323" max="13323"/>
    <col width="6.44140625" customWidth="1" style="3" min="13324" max="13324"/>
    <col width="26.109375" customWidth="1" style="3" min="13325" max="13325"/>
    <col width="7.109375" customWidth="1" style="3" min="13326" max="13326"/>
    <col width="11.109375" customWidth="1" style="3" min="13327" max="13327"/>
    <col width="5.109375" bestFit="1" customWidth="1" style="3" min="13328" max="13328"/>
    <col width="8.77734375" customWidth="1" style="3" min="13329" max="13332"/>
    <col width="7.44140625" bestFit="1" customWidth="1" style="3" min="13333" max="13333"/>
    <col width="9.109375" bestFit="1" customWidth="1" style="3" min="13334" max="13338"/>
    <col width="8.77734375" customWidth="1" style="3" min="13339" max="13571"/>
    <col width="4.33203125" customWidth="1" style="3" min="13572" max="13572"/>
    <col width="4" customWidth="1" style="3" min="13573" max="13573"/>
    <col width="4.109375" customWidth="1" style="3" min="13574" max="13574"/>
    <col width="8" customWidth="1" style="3" min="13575" max="13575"/>
    <col width="8.109375" customWidth="1" style="3" min="13576" max="13577"/>
    <col width="9.109375" customWidth="1" style="3" min="13578" max="13578"/>
    <col width="8.77734375" customWidth="1" style="3" min="13579" max="13579"/>
    <col width="6.44140625" customWidth="1" style="3" min="13580" max="13580"/>
    <col width="26.109375" customWidth="1" style="3" min="13581" max="13581"/>
    <col width="7.109375" customWidth="1" style="3" min="13582" max="13582"/>
    <col width="11.109375" customWidth="1" style="3" min="13583" max="13583"/>
    <col width="5.109375" bestFit="1" customWidth="1" style="3" min="13584" max="13584"/>
    <col width="8.77734375" customWidth="1" style="3" min="13585" max="13588"/>
    <col width="7.44140625" bestFit="1" customWidth="1" style="3" min="13589" max="13589"/>
    <col width="9.109375" bestFit="1" customWidth="1" style="3" min="13590" max="13594"/>
    <col width="8.77734375" customWidth="1" style="3" min="13595" max="13827"/>
    <col width="4.33203125" customWidth="1" style="3" min="13828" max="13828"/>
    <col width="4" customWidth="1" style="3" min="13829" max="13829"/>
    <col width="4.109375" customWidth="1" style="3" min="13830" max="13830"/>
    <col width="8" customWidth="1" style="3" min="13831" max="13831"/>
    <col width="8.109375" customWidth="1" style="3" min="13832" max="13833"/>
    <col width="9.109375" customWidth="1" style="3" min="13834" max="13834"/>
    <col width="8.77734375" customWidth="1" style="3" min="13835" max="13835"/>
    <col width="6.44140625" customWidth="1" style="3" min="13836" max="13836"/>
    <col width="26.109375" customWidth="1" style="3" min="13837" max="13837"/>
    <col width="7.109375" customWidth="1" style="3" min="13838" max="13838"/>
    <col width="11.109375" customWidth="1" style="3" min="13839" max="13839"/>
    <col width="5.109375" bestFit="1" customWidth="1" style="3" min="13840" max="13840"/>
    <col width="8.77734375" customWidth="1" style="3" min="13841" max="13844"/>
    <col width="7.44140625" bestFit="1" customWidth="1" style="3" min="13845" max="13845"/>
    <col width="9.109375" bestFit="1" customWidth="1" style="3" min="13846" max="13850"/>
    <col width="8.77734375" customWidth="1" style="3" min="13851" max="14083"/>
    <col width="4.33203125" customWidth="1" style="3" min="14084" max="14084"/>
    <col width="4" customWidth="1" style="3" min="14085" max="14085"/>
    <col width="4.109375" customWidth="1" style="3" min="14086" max="14086"/>
    <col width="8" customWidth="1" style="3" min="14087" max="14087"/>
    <col width="8.109375" customWidth="1" style="3" min="14088" max="14089"/>
    <col width="9.109375" customWidth="1" style="3" min="14090" max="14090"/>
    <col width="8.77734375" customWidth="1" style="3" min="14091" max="14091"/>
    <col width="6.44140625" customWidth="1" style="3" min="14092" max="14092"/>
    <col width="26.109375" customWidth="1" style="3" min="14093" max="14093"/>
    <col width="7.109375" customWidth="1" style="3" min="14094" max="14094"/>
    <col width="11.109375" customWidth="1" style="3" min="14095" max="14095"/>
    <col width="5.109375" bestFit="1" customWidth="1" style="3" min="14096" max="14096"/>
    <col width="8.77734375" customWidth="1" style="3" min="14097" max="14100"/>
    <col width="7.44140625" bestFit="1" customWidth="1" style="3" min="14101" max="14101"/>
    <col width="9.109375" bestFit="1" customWidth="1" style="3" min="14102" max="14106"/>
    <col width="8.77734375" customWidth="1" style="3" min="14107" max="14339"/>
    <col width="4.33203125" customWidth="1" style="3" min="14340" max="14340"/>
    <col width="4" customWidth="1" style="3" min="14341" max="14341"/>
    <col width="4.109375" customWidth="1" style="3" min="14342" max="14342"/>
    <col width="8" customWidth="1" style="3" min="14343" max="14343"/>
    <col width="8.109375" customWidth="1" style="3" min="14344" max="14345"/>
    <col width="9.109375" customWidth="1" style="3" min="14346" max="14346"/>
    <col width="8.77734375" customWidth="1" style="3" min="14347" max="14347"/>
    <col width="6.44140625" customWidth="1" style="3" min="14348" max="14348"/>
    <col width="26.109375" customWidth="1" style="3" min="14349" max="14349"/>
    <col width="7.109375" customWidth="1" style="3" min="14350" max="14350"/>
    <col width="11.109375" customWidth="1" style="3" min="14351" max="14351"/>
    <col width="5.109375" bestFit="1" customWidth="1" style="3" min="14352" max="14352"/>
    <col width="8.77734375" customWidth="1" style="3" min="14353" max="14356"/>
    <col width="7.44140625" bestFit="1" customWidth="1" style="3" min="14357" max="14357"/>
    <col width="9.109375" bestFit="1" customWidth="1" style="3" min="14358" max="14362"/>
    <col width="8.77734375" customWidth="1" style="3" min="14363" max="14595"/>
    <col width="4.33203125" customWidth="1" style="3" min="14596" max="14596"/>
    <col width="4" customWidth="1" style="3" min="14597" max="14597"/>
    <col width="4.109375" customWidth="1" style="3" min="14598" max="14598"/>
    <col width="8" customWidth="1" style="3" min="14599" max="14599"/>
    <col width="8.109375" customWidth="1" style="3" min="14600" max="14601"/>
    <col width="9.109375" customWidth="1" style="3" min="14602" max="14602"/>
    <col width="8.77734375" customWidth="1" style="3" min="14603" max="14603"/>
    <col width="6.44140625" customWidth="1" style="3" min="14604" max="14604"/>
    <col width="26.109375" customWidth="1" style="3" min="14605" max="14605"/>
    <col width="7.109375" customWidth="1" style="3" min="14606" max="14606"/>
    <col width="11.109375" customWidth="1" style="3" min="14607" max="14607"/>
    <col width="5.109375" bestFit="1" customWidth="1" style="3" min="14608" max="14608"/>
    <col width="8.77734375" customWidth="1" style="3" min="14609" max="14612"/>
    <col width="7.44140625" bestFit="1" customWidth="1" style="3" min="14613" max="14613"/>
    <col width="9.109375" bestFit="1" customWidth="1" style="3" min="14614" max="14618"/>
    <col width="8.77734375" customWidth="1" style="3" min="14619" max="14851"/>
    <col width="4.33203125" customWidth="1" style="3" min="14852" max="14852"/>
    <col width="4" customWidth="1" style="3" min="14853" max="14853"/>
    <col width="4.109375" customWidth="1" style="3" min="14854" max="14854"/>
    <col width="8" customWidth="1" style="3" min="14855" max="14855"/>
    <col width="8.109375" customWidth="1" style="3" min="14856" max="14857"/>
    <col width="9.109375" customWidth="1" style="3" min="14858" max="14858"/>
    <col width="8.77734375" customWidth="1" style="3" min="14859" max="14859"/>
    <col width="6.44140625" customWidth="1" style="3" min="14860" max="14860"/>
    <col width="26.109375" customWidth="1" style="3" min="14861" max="14861"/>
    <col width="7.109375" customWidth="1" style="3" min="14862" max="14862"/>
    <col width="11.109375" customWidth="1" style="3" min="14863" max="14863"/>
    <col width="5.109375" bestFit="1" customWidth="1" style="3" min="14864" max="14864"/>
    <col width="8.77734375" customWidth="1" style="3" min="14865" max="14868"/>
    <col width="7.44140625" bestFit="1" customWidth="1" style="3" min="14869" max="14869"/>
    <col width="9.109375" bestFit="1" customWidth="1" style="3" min="14870" max="14874"/>
    <col width="8.77734375" customWidth="1" style="3" min="14875" max="15107"/>
    <col width="4.33203125" customWidth="1" style="3" min="15108" max="15108"/>
    <col width="4" customWidth="1" style="3" min="15109" max="15109"/>
    <col width="4.109375" customWidth="1" style="3" min="15110" max="15110"/>
    <col width="8" customWidth="1" style="3" min="15111" max="15111"/>
    <col width="8.109375" customWidth="1" style="3" min="15112" max="15113"/>
    <col width="9.109375" customWidth="1" style="3" min="15114" max="15114"/>
    <col width="8.77734375" customWidth="1" style="3" min="15115" max="15115"/>
    <col width="6.44140625" customWidth="1" style="3" min="15116" max="15116"/>
    <col width="26.109375" customWidth="1" style="3" min="15117" max="15117"/>
    <col width="7.109375" customWidth="1" style="3" min="15118" max="15118"/>
    <col width="11.109375" customWidth="1" style="3" min="15119" max="15119"/>
    <col width="5.109375" bestFit="1" customWidth="1" style="3" min="15120" max="15120"/>
    <col width="8.77734375" customWidth="1" style="3" min="15121" max="15124"/>
    <col width="7.44140625" bestFit="1" customWidth="1" style="3" min="15125" max="15125"/>
    <col width="9.109375" bestFit="1" customWidth="1" style="3" min="15126" max="15130"/>
    <col width="8.77734375" customWidth="1" style="3" min="15131" max="15363"/>
    <col width="4.33203125" customWidth="1" style="3" min="15364" max="15364"/>
    <col width="4" customWidth="1" style="3" min="15365" max="15365"/>
    <col width="4.109375" customWidth="1" style="3" min="15366" max="15366"/>
    <col width="8" customWidth="1" style="3" min="15367" max="15367"/>
    <col width="8.109375" customWidth="1" style="3" min="15368" max="15369"/>
    <col width="9.109375" customWidth="1" style="3" min="15370" max="15370"/>
    <col width="8.77734375" customWidth="1" style="3" min="15371" max="15371"/>
    <col width="6.44140625" customWidth="1" style="3" min="15372" max="15372"/>
    <col width="26.109375" customWidth="1" style="3" min="15373" max="15373"/>
    <col width="7.109375" customWidth="1" style="3" min="15374" max="15374"/>
    <col width="11.109375" customWidth="1" style="3" min="15375" max="15375"/>
    <col width="5.109375" bestFit="1" customWidth="1" style="3" min="15376" max="15376"/>
    <col width="8.77734375" customWidth="1" style="3" min="15377" max="15380"/>
    <col width="7.44140625" bestFit="1" customWidth="1" style="3" min="15381" max="15381"/>
    <col width="9.109375" bestFit="1" customWidth="1" style="3" min="15382" max="15386"/>
    <col width="8.77734375" customWidth="1" style="3" min="15387" max="15619"/>
    <col width="4.33203125" customWidth="1" style="3" min="15620" max="15620"/>
    <col width="4" customWidth="1" style="3" min="15621" max="15621"/>
    <col width="4.109375" customWidth="1" style="3" min="15622" max="15622"/>
    <col width="8" customWidth="1" style="3" min="15623" max="15623"/>
    <col width="8.109375" customWidth="1" style="3" min="15624" max="15625"/>
    <col width="9.109375" customWidth="1" style="3" min="15626" max="15626"/>
    <col width="8.77734375" customWidth="1" style="3" min="15627" max="15627"/>
    <col width="6.44140625" customWidth="1" style="3" min="15628" max="15628"/>
    <col width="26.109375" customWidth="1" style="3" min="15629" max="15629"/>
    <col width="7.109375" customWidth="1" style="3" min="15630" max="15630"/>
    <col width="11.109375" customWidth="1" style="3" min="15631" max="15631"/>
    <col width="5.109375" bestFit="1" customWidth="1" style="3" min="15632" max="15632"/>
    <col width="8.77734375" customWidth="1" style="3" min="15633" max="15636"/>
    <col width="7.44140625" bestFit="1" customWidth="1" style="3" min="15637" max="15637"/>
    <col width="9.109375" bestFit="1" customWidth="1" style="3" min="15638" max="15642"/>
    <col width="8.77734375" customWidth="1" style="3" min="15643" max="15875"/>
    <col width="4.33203125" customWidth="1" style="3" min="15876" max="15876"/>
    <col width="4" customWidth="1" style="3" min="15877" max="15877"/>
    <col width="4.109375" customWidth="1" style="3" min="15878" max="15878"/>
    <col width="8" customWidth="1" style="3" min="15879" max="15879"/>
    <col width="8.109375" customWidth="1" style="3" min="15880" max="15881"/>
    <col width="9.109375" customWidth="1" style="3" min="15882" max="15882"/>
    <col width="8.77734375" customWidth="1" style="3" min="15883" max="15883"/>
    <col width="6.44140625" customWidth="1" style="3" min="15884" max="15884"/>
    <col width="26.109375" customWidth="1" style="3" min="15885" max="15885"/>
    <col width="7.109375" customWidth="1" style="3" min="15886" max="15886"/>
    <col width="11.109375" customWidth="1" style="3" min="15887" max="15887"/>
    <col width="5.109375" bestFit="1" customWidth="1" style="3" min="15888" max="15888"/>
    <col width="8.77734375" customWidth="1" style="3" min="15889" max="15892"/>
    <col width="7.44140625" bestFit="1" customWidth="1" style="3" min="15893" max="15893"/>
    <col width="9.109375" bestFit="1" customWidth="1" style="3" min="15894" max="15898"/>
    <col width="8.77734375" customWidth="1" style="3" min="15899" max="16131"/>
    <col width="4.33203125" customWidth="1" style="3" min="16132" max="16132"/>
    <col width="4" customWidth="1" style="3" min="16133" max="16133"/>
    <col width="4.109375" customWidth="1" style="3" min="16134" max="16134"/>
    <col width="8" customWidth="1" style="3" min="16135" max="16135"/>
    <col width="8.109375" customWidth="1" style="3" min="16136" max="16137"/>
    <col width="9.109375" customWidth="1" style="3" min="16138" max="16138"/>
    <col width="8.77734375" customWidth="1" style="3" min="16139" max="16139"/>
    <col width="6.44140625" customWidth="1" style="3" min="16140" max="16140"/>
    <col width="26.109375" customWidth="1" style="3" min="16141" max="16141"/>
    <col width="7.109375" customWidth="1" style="3" min="16142" max="16142"/>
    <col width="11.109375" customWidth="1" style="3" min="16143" max="16143"/>
    <col width="5.109375" bestFit="1" customWidth="1" style="3" min="16144" max="16144"/>
    <col width="8.77734375" customWidth="1" style="3" min="16145" max="16148"/>
    <col width="7.44140625" bestFit="1" customWidth="1" style="3" min="16149" max="16149"/>
    <col width="9.109375" bestFit="1" customWidth="1" style="3" min="16150" max="16154"/>
    <col width="8.77734375" customWidth="1" style="3" min="16155" max="16384"/>
  </cols>
  <sheetData>
    <row r="1" ht="25.05" customFormat="1" customHeight="1" s="74">
      <c r="A1" s="144" t="inlineStr">
        <is>
          <t>会社名</t>
        </is>
      </c>
      <c r="B1" s="145" t="n"/>
      <c r="C1" s="145" t="n"/>
      <c r="D1" s="145" t="inlineStr">
        <is>
          <t>：　＜顧客会社名＞</t>
        </is>
      </c>
      <c r="E1" s="146" t="n"/>
      <c r="F1" s="146" t="n"/>
      <c r="G1" s="146" t="n"/>
      <c r="H1" s="146" t="n"/>
      <c r="I1" s="146" t="n"/>
      <c r="J1" s="146" t="n"/>
      <c r="O1" s="202" t="n"/>
    </row>
    <row r="2" ht="25.05" customFormat="1" customHeight="1" s="74">
      <c r="A2" s="144" t="inlineStr">
        <is>
          <t>ご担当者名</t>
        </is>
      </c>
      <c r="B2" s="147" t="n"/>
      <c r="C2" s="147" t="n"/>
      <c r="D2" s="147" t="inlineStr">
        <is>
          <t>：　＜顧客ご担当者名＞</t>
        </is>
      </c>
      <c r="E2" s="147" t="n"/>
      <c r="F2" s="147" t="n"/>
      <c r="G2" s="147" t="n"/>
      <c r="H2" s="147" t="n"/>
      <c r="I2" s="147" t="n"/>
      <c r="J2" s="147" t="inlineStr">
        <is>
          <t>様</t>
        </is>
      </c>
    </row>
    <row r="3" ht="25.05" customFormat="1" customHeight="1" s="74"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202" t="n"/>
    </row>
    <row r="4" ht="25.05" customFormat="1" customHeight="1" s="74">
      <c r="A4" s="234" t="n">
        <v>45200</v>
      </c>
      <c r="U4" s="80" t="n"/>
      <c r="V4" s="80" t="n"/>
      <c r="W4" s="80" t="n"/>
      <c r="X4" s="80" t="n"/>
      <c r="Y4" s="80" t="n"/>
      <c r="Z4" s="80" t="n"/>
      <c r="AA4" s="80" t="n"/>
      <c r="AB4" s="80" t="n"/>
    </row>
    <row r="5" ht="25.05" customFormat="1" customHeight="1" s="74">
      <c r="I5" s="77" t="n"/>
      <c r="J5" s="77" t="n"/>
      <c r="L5" s="202" t="n"/>
    </row>
    <row r="6" ht="25.05" customFormat="1" customHeight="1" s="74">
      <c r="I6" s="77" t="n"/>
      <c r="J6" s="77" t="n"/>
      <c r="R6" s="74" t="inlineStr">
        <is>
          <t>株式会社　ゼクシス</t>
        </is>
      </c>
    </row>
    <row r="7" ht="25.05" customFormat="1" customHeight="1" s="74">
      <c r="A7" s="144" t="inlineStr">
        <is>
          <t>注文No.</t>
        </is>
      </c>
      <c r="B7" s="147" t="n"/>
      <c r="C7" s="147" t="n"/>
      <c r="D7" s="147" t="inlineStr">
        <is>
          <t xml:space="preserve">：　</t>
        </is>
      </c>
      <c r="E7" s="147" t="inlineStr">
        <is>
          <t>Hxxxxx</t>
        </is>
      </c>
      <c r="F7" s="147" t="n"/>
      <c r="G7" s="147" t="n"/>
      <c r="H7" s="147" t="n"/>
      <c r="I7" s="147" t="n"/>
      <c r="J7" s="147" t="n"/>
      <c r="K7" s="147" t="n"/>
      <c r="L7" s="148" t="n"/>
      <c r="M7" s="149" t="n"/>
      <c r="R7" s="74" t="inlineStr">
        <is>
          <t>業務担当者：＜PL氏名＞</t>
        </is>
      </c>
    </row>
    <row r="8" ht="25.05" customFormat="1" customHeight="1" s="74">
      <c r="A8" s="150" t="inlineStr">
        <is>
          <t>件名</t>
        </is>
      </c>
      <c r="B8" s="151" t="n"/>
      <c r="C8" s="151" t="n"/>
      <c r="D8" s="151" t="inlineStr">
        <is>
          <t>：</t>
        </is>
      </c>
      <c r="E8" s="151" t="inlineStr">
        <is>
          <t>IND1-KR4057 Z Tellus IND Ehp適用およびHWリプレース対応</t>
        </is>
      </c>
      <c r="F8" s="151" t="n"/>
      <c r="G8" s="151" t="n"/>
      <c r="H8" s="151" t="n"/>
      <c r="I8" s="151" t="n"/>
      <c r="J8" s="151" t="n"/>
      <c r="K8" s="151" t="n"/>
      <c r="L8" s="151" t="n"/>
      <c r="M8" s="152" t="n"/>
      <c r="P8" s="78" t="n"/>
      <c r="U8" s="79" t="n"/>
      <c r="V8" s="79" t="n"/>
      <c r="Y8" s="79" t="n"/>
      <c r="Z8" s="79" t="n"/>
      <c r="AA8" s="79" t="n"/>
      <c r="AB8" s="79" t="n"/>
    </row>
    <row r="9" ht="25.05" customFormat="1" customHeight="1" s="74">
      <c r="A9" s="144" t="inlineStr">
        <is>
          <t>作業期間</t>
        </is>
      </c>
      <c r="B9" s="145" t="n"/>
      <c r="C9" s="145" t="n"/>
      <c r="D9" s="145" t="inlineStr">
        <is>
          <t>：</t>
        </is>
      </c>
      <c r="E9" s="145" t="inlineStr">
        <is>
          <t>2023/10/1～2023/10/31</t>
        </is>
      </c>
      <c r="F9" s="145" t="n"/>
      <c r="G9" s="145" t="n"/>
      <c r="H9" s="145" t="n"/>
      <c r="I9" s="145" t="n"/>
      <c r="J9" s="145" t="n"/>
      <c r="K9" s="145" t="n"/>
      <c r="L9" s="145" t="n"/>
      <c r="M9" s="152" t="n"/>
    </row>
    <row r="10" ht="25.05" customFormat="1" customHeight="1" s="74">
      <c r="A10" s="144" t="inlineStr">
        <is>
          <t>提出年月日</t>
        </is>
      </c>
      <c r="B10" s="145" t="n"/>
      <c r="C10" s="145" t="n"/>
      <c r="D10" s="147" t="inlineStr">
        <is>
          <t>：</t>
        </is>
      </c>
      <c r="E10" s="153" t="inlineStr">
        <is>
          <t>2023</t>
        </is>
      </c>
      <c r="F10" s="153" t="inlineStr">
        <is>
          <t>年</t>
        </is>
      </c>
      <c r="G10" s="154" t="inlineStr">
        <is>
          <t>11</t>
        </is>
      </c>
      <c r="H10" s="154" t="inlineStr">
        <is>
          <t>月</t>
        </is>
      </c>
      <c r="I10" s="154" t="inlineStr">
        <is>
          <t>1</t>
        </is>
      </c>
      <c r="J10" s="154" t="inlineStr">
        <is>
          <t>日</t>
        </is>
      </c>
      <c r="K10" s="154" t="n"/>
      <c r="L10" s="154" t="n"/>
      <c r="M10" s="152" t="n"/>
    </row>
    <row r="11" ht="19.5" customHeight="1" s="235">
      <c r="G11" s="236" t="n"/>
      <c r="H11" s="236" t="n"/>
      <c r="I11" s="236" t="n"/>
      <c r="J11" s="236" t="n"/>
      <c r="K11" s="236" t="n"/>
      <c r="L11" s="236" t="n"/>
      <c r="M11" s="236" t="n"/>
      <c r="N11" s="38" t="n"/>
      <c r="O11" s="38" t="n"/>
      <c r="P11" s="38" t="n"/>
      <c r="Q11" s="74" t="n"/>
      <c r="R11" s="74" t="n"/>
      <c r="S11" s="74" t="n"/>
      <c r="T11" s="74" t="n"/>
      <c r="W11" s="23" t="inlineStr">
        <is>
          <t>標準時間</t>
        </is>
      </c>
      <c r="X11" s="3">
        <f>#REF!*7.5</f>
        <v/>
      </c>
      <c r="Y11" s="23" t="inlineStr">
        <is>
          <t>下限</t>
        </is>
      </c>
      <c r="Z11" s="3">
        <f>X11-20</f>
        <v/>
      </c>
      <c r="AA11" s="23" t="inlineStr">
        <is>
          <t>上限</t>
        </is>
      </c>
      <c r="AB11" s="3">
        <f>X11+20</f>
        <v/>
      </c>
    </row>
    <row r="12" ht="19.95" customHeight="1" s="235">
      <c r="E12" s="237" t="n"/>
      <c r="F12" s="237" t="n"/>
      <c r="G12" s="237" t="n"/>
      <c r="H12" s="237" t="n"/>
      <c r="I12" s="238" t="n"/>
      <c r="J12" s="238" t="n"/>
      <c r="K12" s="238" t="n"/>
      <c r="L12" s="238" t="n"/>
      <c r="M12" s="238" t="n"/>
      <c r="N12" s="239" t="n"/>
      <c r="O12" s="239" t="n"/>
      <c r="P12" s="239" t="n"/>
      <c r="Q12" s="74" t="n"/>
      <c r="R12" s="74" t="n"/>
      <c r="S12" s="74" t="n"/>
      <c r="T12" s="74" t="n"/>
      <c r="W12" s="23" t="inlineStr">
        <is>
          <t>勤務日数</t>
        </is>
      </c>
      <c r="X12" s="3">
        <f>COUNTA(E17:E47)</f>
        <v/>
      </c>
    </row>
    <row r="13" ht="19.95" customHeight="1" s="235">
      <c r="B13" s="128" t="inlineStr">
        <is>
          <t>下記のとおり作業時間をご報告いたします。</t>
        </is>
      </c>
      <c r="C13" s="128" t="n"/>
      <c r="D13" s="128" t="n"/>
      <c r="E13" s="128" t="n"/>
      <c r="F13" s="128" t="n"/>
      <c r="G13" s="128" t="n"/>
      <c r="H13" s="128" t="n"/>
      <c r="M13" s="39" t="n"/>
      <c r="N13" s="8" t="n"/>
      <c r="O13" s="8" t="n"/>
      <c r="P13" s="8" t="n"/>
      <c r="Q13" s="74" t="n"/>
      <c r="R13" s="74" t="n"/>
      <c r="S13" s="74" t="n"/>
      <c r="T13" s="74" t="n"/>
      <c r="W13" s="23" t="inlineStr">
        <is>
          <t>深夜勤務</t>
        </is>
      </c>
      <c r="X13" s="70" t="n">
        <v>0.9166666666666666</v>
      </c>
      <c r="Y13" s="23" t="inlineStr">
        <is>
          <t>開始</t>
        </is>
      </c>
      <c r="Z13" s="240" t="n">
        <v>1.208333333333333</v>
      </c>
      <c r="AA13" s="23" t="inlineStr">
        <is>
          <t>終了</t>
        </is>
      </c>
    </row>
    <row r="14" ht="19.95" customHeight="1" s="235">
      <c r="B14" s="129" t="inlineStr">
        <is>
          <t>担当者：</t>
        </is>
      </c>
      <c r="C14" s="128" t="n"/>
      <c r="D14" s="198" t="inlineStr">
        <is>
          <t>ＸＸ　ＸＸ</t>
        </is>
      </c>
      <c r="E14" s="241" t="n"/>
      <c r="F14" s="241" t="n"/>
      <c r="G14" s="241" t="n"/>
      <c r="H14" s="130" t="n"/>
      <c r="M14" s="39" t="n"/>
      <c r="N14" s="8" t="n"/>
      <c r="O14" s="8" t="n"/>
      <c r="P14" s="8" t="n"/>
      <c r="Q14" s="74" t="n"/>
      <c r="R14" s="74" t="n"/>
      <c r="S14" s="74" t="n"/>
      <c r="T14" s="74" t="n"/>
    </row>
    <row r="15" ht="3.45" customHeight="1" s="235">
      <c r="E15" s="242" t="n"/>
      <c r="F15" s="243" t="n"/>
      <c r="N15" s="8" t="n"/>
      <c r="O15" s="8" t="n"/>
      <c r="P15" s="8" t="n"/>
      <c r="Q15" s="8" t="n"/>
      <c r="R15" s="8" t="n"/>
      <c r="S15" s="8" t="n"/>
      <c r="T15" s="9" t="n"/>
    </row>
    <row r="16" ht="28.5" customHeight="1" s="235">
      <c r="A16" s="155" t="inlineStr">
        <is>
          <t>月</t>
        </is>
      </c>
      <c r="B16" s="156" t="inlineStr">
        <is>
          <t>日</t>
        </is>
      </c>
      <c r="C16" s="156" t="inlineStr">
        <is>
          <t>曜日</t>
        </is>
      </c>
      <c r="D16" s="157" t="inlineStr">
        <is>
          <t>区分</t>
        </is>
      </c>
      <c r="E16" s="156" t="inlineStr">
        <is>
          <t>開 始</t>
        </is>
      </c>
      <c r="F16" s="158" t="inlineStr">
        <is>
          <t>終 了</t>
        </is>
      </c>
      <c r="G16" s="159" t="inlineStr">
        <is>
          <t>休憩
時間</t>
        </is>
      </c>
      <c r="H16" s="160" t="inlineStr">
        <is>
          <t>作業
時間</t>
        </is>
      </c>
      <c r="I16" s="159" t="inlineStr">
        <is>
          <t>標準
時間</t>
        </is>
      </c>
      <c r="J16" s="157" t="inlineStr">
        <is>
          <t>標準外
時間</t>
        </is>
      </c>
      <c r="K16" s="157" t="inlineStr">
        <is>
          <t>深夜
時間</t>
        </is>
      </c>
      <c r="L16" s="160" t="inlineStr">
        <is>
          <t>休日
時間</t>
        </is>
      </c>
      <c r="M16" s="182" t="inlineStr">
        <is>
          <t>作業内容</t>
        </is>
      </c>
      <c r="N16" s="244" t="n"/>
      <c r="O16" s="244" t="n"/>
      <c r="P16" s="244" t="n"/>
      <c r="Q16" s="244" t="n"/>
      <c r="R16" s="244" t="n"/>
      <c r="S16" s="244" t="n"/>
      <c r="T16" s="245" t="n"/>
      <c r="U16" s="16" t="inlineStr">
        <is>
          <t>休み</t>
        </is>
      </c>
      <c r="W16" s="23" t="inlineStr">
        <is>
          <t>会議</t>
        </is>
      </c>
    </row>
    <row r="17" ht="19.95" customHeight="1" s="235">
      <c r="A17" s="246">
        <f>B17</f>
        <v/>
      </c>
      <c r="B17" s="247">
        <f>DATEVALUE(TEXT(A4,"yyyy/mm/") &amp; "01")</f>
        <v/>
      </c>
      <c r="C17" s="248">
        <f>B17</f>
        <v/>
      </c>
      <c r="D17" s="134">
        <f>IF(U17="稼働","稼働",IF(OR(WEEKDAY(B17)=1,WEEKDAY(B17)=7,C17="日",U17="祝日",U17="特休",U17="代休",U17="休み"),"休日",IF(C17="","","稼働")))</f>
        <v/>
      </c>
      <c r="E17" s="250" t="n"/>
      <c r="F17" s="251" t="n"/>
      <c r="G17" s="252">
        <f>IF(AND(E17&lt;&gt;"",F17&lt;&gt;""),IF((F17-E17-マスタ!$B$7)&gt;マスタ!$C$7,マスタ!$B$7,IF((F17-E17-マスタ!$B$6)&gt;マスタ!$C$6,マスタ!$B$6,マスタ!$B$5)),"")</f>
        <v/>
      </c>
      <c r="H17" s="253">
        <f>IF(G17="","",F17-E17-G17)</f>
        <v/>
      </c>
      <c r="I17" s="252">
        <f>IF(D17="休日","",IF(F17&gt;マスタ!$C$2,IF(E17&lt;マスタ!$C$2,マスタ!$C$2-E17-(マスタ!$C$4-マスタ!$C$3),""),IF(E17&lt;マスタ!$C$2,F17-E17-G17,"")))</f>
        <v/>
      </c>
      <c r="J17" s="254">
        <f>IF(D17="休日","",IF(K17="",H17-I17,IF(H17=K17,"",H17-I17-K17)))</f>
        <v/>
      </c>
      <c r="K17" s="254">
        <f>IF(D17="休日","",IF(OR(E17="",F17=""),"",IF(F17&gt;$X$13,IF(F17&gt;$Z$13,$Z$13-$X$13,F17-$X$13),"")))</f>
        <v/>
      </c>
      <c r="L17" s="253">
        <f>IF(D17="休日",H17,"")</f>
        <v/>
      </c>
      <c r="M17" s="185" t="n"/>
      <c r="N17" s="255" t="n"/>
      <c r="O17" s="255" t="n"/>
      <c r="P17" s="255" t="n"/>
      <c r="Q17" s="255" t="n"/>
      <c r="R17" s="255" t="n"/>
      <c r="S17" s="255" t="n"/>
      <c r="T17" s="256" t="n"/>
      <c r="U17" s="48" t="n"/>
      <c r="W17" s="72" t="n"/>
      <c r="X17" s="72" t="n"/>
      <c r="Y17" s="72" t="n"/>
      <c r="Z17" s="72" t="n"/>
    </row>
    <row r="18" ht="19.95" customHeight="1" s="235">
      <c r="A18" s="258" t="n"/>
      <c r="B18" s="259">
        <f>B17+1</f>
        <v/>
      </c>
      <c r="C18" s="260">
        <f>B18</f>
        <v/>
      </c>
      <c r="D18" s="138">
        <f>IF(U18="稼働","稼働",IF(OR(WEEKDAY(B18)=1,WEEKDAY(B18)=7,C18="日",U18="祝日",U18="特休",U18="代休",U18="休み"),"休日",IF(C18="","","稼働")))</f>
        <v/>
      </c>
      <c r="E18" s="262" t="n">
        <v>0.375</v>
      </c>
      <c r="F18" s="263" t="n">
        <v>0.9166666666666666</v>
      </c>
      <c r="G18" s="264">
        <f>IF(AND(E18&lt;&gt;"",F18&lt;&gt;""),IF((F18-E18-マスタ!$B$7)&gt;マスタ!$C$7,マスタ!$B$7,IF((F18-E18-マスタ!$B$6)&gt;マスタ!$C$6,マスタ!$B$6,マスタ!$B$5)),"")</f>
        <v/>
      </c>
      <c r="H18" s="265">
        <f>IF(G18="","",F18-E18-G18)</f>
        <v/>
      </c>
      <c r="I18" s="266">
        <f>IF(D18="休日","",IF(F18&gt;マスタ!$C$2,IF(E18&lt;マスタ!$C$2,マスタ!$C$2-E18-(マスタ!$C$4-マスタ!$C$3),""),IF(E18&lt;マスタ!$C$2,F18-E18-G18,"")))</f>
        <v/>
      </c>
      <c r="J18" s="267">
        <f>IF(D18="休日","",IF(K18="",H18-I18,IF(H18=K18,"",H18-I18-K18)))</f>
        <v/>
      </c>
      <c r="K18" s="267">
        <f>IF(D18="休日","",IF(OR(E18="",F18=""),"",IF(F18&gt;$X$13,IF(F18&gt;$Z$13,$Z$13-$X$13,F18-$X$13),"")))</f>
        <v/>
      </c>
      <c r="L18" s="265">
        <f>IF(D18="休日",H18,"")</f>
        <v/>
      </c>
      <c r="M18" s="173" t="inlineStr">
        <is>
          <t>例）22時までの残業</t>
        </is>
      </c>
      <c r="N18" s="268" t="n"/>
      <c r="O18" s="268" t="n"/>
      <c r="P18" s="268" t="n"/>
      <c r="Q18" s="268" t="n"/>
      <c r="R18" s="268" t="n"/>
      <c r="S18" s="268" t="n"/>
      <c r="T18" s="269" t="n"/>
      <c r="U18" s="48" t="n"/>
      <c r="W18" s="72" t="n"/>
      <c r="X18" s="72" t="n"/>
      <c r="Y18" s="72" t="n"/>
      <c r="Z18" s="72" t="n"/>
    </row>
    <row r="19" ht="19.95" customHeight="1" s="235">
      <c r="A19" s="258" t="n"/>
      <c r="B19" s="259">
        <f>B18+1</f>
        <v/>
      </c>
      <c r="C19" s="260">
        <f>B19</f>
        <v/>
      </c>
      <c r="D19" s="138">
        <f>IF(U19="稼働","稼働",IF(OR(WEEKDAY(B19)=1,WEEKDAY(B19)=7,C19="日",U19="祝日",U19="特休",U19="代休",U19="休み"),"休日",IF(C19="","","稼働")))</f>
        <v/>
      </c>
      <c r="E19" s="262" t="n">
        <v>0.375</v>
      </c>
      <c r="F19" s="263" t="n">
        <v>1.041666666666667</v>
      </c>
      <c r="G19" s="266">
        <f>IF(AND(E19&lt;&gt;"",F19&lt;&gt;""),IF((F19-E19-マスタ!$B$7)&gt;マスタ!$C$7,マスタ!$B$7,IF((F19-E19-マスタ!$B$6)&gt;マスタ!$C$6,マスタ!$B$6,マスタ!$B$5)),"")</f>
        <v/>
      </c>
      <c r="H19" s="265">
        <f>IF(G19="","",F19-E19-G19)</f>
        <v/>
      </c>
      <c r="I19" s="266">
        <f>IF(D19="休日","",IF(F19&gt;マスタ!$C$2,IF(E19&lt;マスタ!$C$2,マスタ!$C$2-E19-(マスタ!$C$4-マスタ!$C$3),""),IF(E19&lt;マスタ!$C$2,F19-E19-G19,"")))</f>
        <v/>
      </c>
      <c r="J19" s="267">
        <f>IF(D19="休日","",IF(K19="",H19-I19,IF(H19=K19,"",H19-I19-K19)))</f>
        <v/>
      </c>
      <c r="K19" s="267">
        <f>IF(D19="休日","",IF(OR(E19="",F19=""),"",IF(F19&gt;$X$13,IF(F19&gt;$Z$13,$Z$13-$X$13,F19-$X$13),"")))</f>
        <v/>
      </c>
      <c r="L19" s="265">
        <f>IF(D19="休日",H19,"")</f>
        <v/>
      </c>
      <c r="M19" s="173" t="inlineStr">
        <is>
          <t>例）深夜1:00までの残業</t>
        </is>
      </c>
      <c r="N19" s="268" t="n"/>
      <c r="O19" s="268" t="n"/>
      <c r="P19" s="268" t="n"/>
      <c r="Q19" s="268" t="n"/>
      <c r="R19" s="268" t="n"/>
      <c r="S19" s="268" t="n"/>
      <c r="T19" s="269" t="n"/>
      <c r="U19" s="48" t="n"/>
      <c r="W19" s="72" t="n"/>
      <c r="X19" s="72" t="n"/>
      <c r="Y19" s="72" t="n"/>
      <c r="Z19" s="72" t="n"/>
    </row>
    <row r="20" ht="19.95" customHeight="1" s="235">
      <c r="A20" s="258" t="n"/>
      <c r="B20" s="259">
        <f>B19+1</f>
        <v/>
      </c>
      <c r="C20" s="260">
        <f>B20</f>
        <v/>
      </c>
      <c r="D20" s="138">
        <f>IF(U20="稼働","稼働",IF(OR(WEEKDAY(B20)=1,WEEKDAY(B20)=7,C20="日",U20="祝日",U20="特休",U20="代休",U20="休み"),"休日",IF(C20="","","稼働")))</f>
        <v/>
      </c>
      <c r="E20" s="262" t="n">
        <v>0.375</v>
      </c>
      <c r="F20" s="263" t="n">
        <v>1.15625</v>
      </c>
      <c r="G20" s="266">
        <f>IF(AND(E20&lt;&gt;"",F20&lt;&gt;""),IF((F20-E20-マスタ!$B$7)&gt;マスタ!$C$7,マスタ!$B$7,IF((F20-E20-マスタ!$B$6)&gt;マスタ!$C$6,マスタ!$B$6,マスタ!$B$5)),"")</f>
        <v/>
      </c>
      <c r="H20" s="265">
        <f>IF(G20="","",F20-E20-G20)</f>
        <v/>
      </c>
      <c r="I20" s="266">
        <f>IF(D20="休日","",IF(F20&gt;マスタ!$C$2,IF(E20&lt;マスタ!$C$2,マスタ!$C$2-E20-(マスタ!$C$4-マスタ!$C$3),""),IF(E20&lt;マスタ!$C$2,F20-E20-G20,"")))</f>
        <v/>
      </c>
      <c r="J20" s="267">
        <f>IF(D20="休日","",IF(K20="",H20-I20,IF(H20=K20,"",H20-I20-K20)))</f>
        <v/>
      </c>
      <c r="K20" s="267">
        <f>IF(D20="休日","",IF(OR(E20="",F20=""),"",IF(F20&gt;$X$13,IF(F20&gt;$Z$13,$Z$13-$X$13,F20-$X$13),"")))</f>
        <v/>
      </c>
      <c r="L20" s="265">
        <f>IF(D20="休日",H20,"")</f>
        <v/>
      </c>
      <c r="M20" s="173" t="inlineStr">
        <is>
          <t>例）深夜3:45までの残業</t>
        </is>
      </c>
      <c r="N20" s="268" t="n"/>
      <c r="O20" s="268" t="n"/>
      <c r="P20" s="268" t="n"/>
      <c r="Q20" s="268" t="n"/>
      <c r="R20" s="268" t="n"/>
      <c r="S20" s="268" t="n"/>
      <c r="T20" s="269" t="n"/>
      <c r="U20" s="48" t="n"/>
      <c r="W20" s="72" t="n"/>
      <c r="X20" s="72" t="n"/>
      <c r="Y20" s="72" t="n"/>
      <c r="Z20" s="72" t="n"/>
    </row>
    <row r="21" ht="19.95" customHeight="1" s="235">
      <c r="A21" s="258" t="n"/>
      <c r="B21" s="259">
        <f>B20+1</f>
        <v/>
      </c>
      <c r="C21" s="260">
        <f>B21</f>
        <v/>
      </c>
      <c r="D21" s="138">
        <f>IF(U21="稼働","稼働",IF(OR(WEEKDAY(B21)=1,WEEKDAY(B21)=7,C21="日",U21="祝日",U21="特休",U21="代休",U21="休み"),"休日",IF(C21="","","稼働")))</f>
        <v/>
      </c>
      <c r="E21" s="262" t="n">
        <v>0.375</v>
      </c>
      <c r="F21" s="263" t="n">
        <v>0.7291666666666666</v>
      </c>
      <c r="G21" s="266">
        <f>IF(AND(E21&lt;&gt;"",F21&lt;&gt;""),IF((F21-E21-マスタ!$B$7)&gt;マスタ!$C$7,マスタ!$B$7,IF((F21-E21-マスタ!$B$6)&gt;マスタ!$C$6,マスタ!$B$6,マスタ!$B$5)),"")</f>
        <v/>
      </c>
      <c r="H21" s="265">
        <f>IF(G21="","",F21-E21-G21)</f>
        <v/>
      </c>
      <c r="I21" s="266">
        <f>IF(D21="休日","",IF(F21&gt;マスタ!$C$2,IF(E21&lt;マスタ!$C$2,マスタ!$C$2-E21-(マスタ!$C$4-マスタ!$C$3),""),IF(E21&lt;マスタ!$C$2,F21-E21-G21,"")))</f>
        <v/>
      </c>
      <c r="J21" s="267">
        <f>IF(D21="休日","",IF(K21="",H21-I21,IF(H21=K21,"",H21-I21-K21)))</f>
        <v/>
      </c>
      <c r="K21" s="267">
        <f>IF(D21="休日","",IF(OR(E21="",F21=""),"",IF(F21&gt;$X$13,IF(F21&gt;$Z$13,$Z$13-$X$13,F21-$X$13),"")))</f>
        <v/>
      </c>
      <c r="L21" s="265">
        <f>IF(D21="休日",H21,"")</f>
        <v/>
      </c>
      <c r="M21" s="173" t="n"/>
      <c r="N21" s="268" t="n"/>
      <c r="O21" s="268" t="n"/>
      <c r="P21" s="268" t="n"/>
      <c r="Q21" s="268" t="n"/>
      <c r="R21" s="268" t="n"/>
      <c r="S21" s="268" t="n"/>
      <c r="T21" s="269" t="n"/>
      <c r="U21" s="48" t="n"/>
      <c r="W21" s="72" t="n"/>
      <c r="X21" s="72" t="n"/>
      <c r="Y21" s="72" t="n"/>
      <c r="Z21" s="72" t="n"/>
    </row>
    <row r="22" ht="19.95" customHeight="1" s="235">
      <c r="A22" s="258" t="n"/>
      <c r="B22" s="259">
        <f>B21+1</f>
        <v/>
      </c>
      <c r="C22" s="260">
        <f>B22</f>
        <v/>
      </c>
      <c r="D22" s="138">
        <f>IF(U22="稼働","稼働",IF(OR(WEEKDAY(B22)=1,WEEKDAY(B22)=7,C22="日",U22="祝日",U22="特休",U22="代休",U22="休み"),"休日",IF(C22="","","稼働")))</f>
        <v/>
      </c>
      <c r="E22" s="262" t="n">
        <v>0.5416666666666666</v>
      </c>
      <c r="F22" s="263" t="n">
        <v>0.7291666666666666</v>
      </c>
      <c r="G22" s="266">
        <f>IF(AND(E22&lt;&gt;"",F22&lt;&gt;""),IF((F22-E22-マスタ!$B$7)&gt;マスタ!$C$7,マスタ!$B$7,IF((F22-E22-マスタ!$B$6)&gt;マスタ!$C$6,マスタ!$B$6,マスタ!$B$5)),"")</f>
        <v/>
      </c>
      <c r="H22" s="265">
        <f>IF(G22="","",F22-E22-G22)</f>
        <v/>
      </c>
      <c r="I22" s="266">
        <f>IF(D22="休日","",IF(F22&gt;マスタ!$C$2,IF(E22&lt;マスタ!$C$2,マスタ!$C$2-E22-(マスタ!$C$4-マスタ!$C$3),""),IF(E22&lt;マスタ!$C$2,F22-E22-G22,"")))</f>
        <v/>
      </c>
      <c r="J22" s="267">
        <f>IF(D22="休日","",IF(K22="",H22-I22,IF(H22=K22,"",H22-I22-K22)))</f>
        <v/>
      </c>
      <c r="K22" s="267">
        <f>IF(D22="休日","",IF(OR(E22="",F22=""),"",IF(F22&gt;$X$13,IF(F22&gt;$Z$13,$Z$13-$X$13,F22-$X$13),"")))</f>
        <v/>
      </c>
      <c r="L22" s="265">
        <f>IF(D22="休日",H22,"")</f>
        <v/>
      </c>
      <c r="M22" s="173" t="inlineStr">
        <is>
          <t>例）午前半休の場合</t>
        </is>
      </c>
      <c r="N22" s="268" t="n"/>
      <c r="O22" s="268" t="n"/>
      <c r="P22" s="268" t="n"/>
      <c r="Q22" s="268" t="n"/>
      <c r="R22" s="268" t="n"/>
      <c r="S22" s="268" t="n"/>
      <c r="T22" s="269" t="n"/>
      <c r="U22" s="48" t="n"/>
      <c r="W22" s="72" t="n"/>
      <c r="X22" s="72" t="n"/>
      <c r="Y22" s="72" t="n"/>
      <c r="Z22" s="72" t="n"/>
    </row>
    <row r="23" ht="19.95" customHeight="1" s="235">
      <c r="A23" s="258" t="n"/>
      <c r="B23" s="259">
        <f>B22+1</f>
        <v/>
      </c>
      <c r="C23" s="260">
        <f>B23</f>
        <v/>
      </c>
      <c r="D23" s="138">
        <f>IF(U23="稼働","稼働",IF(OR(WEEKDAY(B23)=1,WEEKDAY(B23)=7,C23="日",U23="祝日",U23="特休",U23="代休",U23="休み"),"休日",IF(C23="","","稼働")))</f>
        <v/>
      </c>
      <c r="E23" s="262" t="n">
        <v>0.375</v>
      </c>
      <c r="F23" s="263" t="n">
        <v>0.7291666666666666</v>
      </c>
      <c r="G23" s="266">
        <f>IF(AND(E23&lt;&gt;"",F23&lt;&gt;""),IF((F23-E23-マスタ!$B$7)&gt;マスタ!$C$7,マスタ!$B$7,IF((F23-E23-マスタ!$B$6)&gt;マスタ!$C$6,マスタ!$B$6,マスタ!$B$5)),"")</f>
        <v/>
      </c>
      <c r="H23" s="265">
        <f>IF(G23="","",F23-E23-G23)</f>
        <v/>
      </c>
      <c r="I23" s="266">
        <f>IF(D23="休日","",IF(F23&gt;マスタ!$C$2,IF(E23&lt;マスタ!$C$2,マスタ!$C$2-E23-(マスタ!$C$4-マスタ!$C$3),""),IF(E23&lt;マスタ!$C$2,F23-E23-G23,"")))</f>
        <v/>
      </c>
      <c r="J23" s="267">
        <f>IF(D23="休日","",IF(K23="",H23-I23,IF(H23=K23,"",H23-I23-K23)))</f>
        <v/>
      </c>
      <c r="K23" s="267">
        <f>IF(D23="休日","",IF(OR(E23="",F23=""),"",IF(F23&gt;$X$13,IF(F23&gt;$Z$13,$Z$13-$X$13,F23-$X$13),"")))</f>
        <v/>
      </c>
      <c r="L23" s="265">
        <f>IF(D23="休日",H23,"")</f>
        <v/>
      </c>
      <c r="M23" s="173" t="inlineStr">
        <is>
          <t>例）休日出勤の場合</t>
        </is>
      </c>
      <c r="N23" s="268" t="n"/>
      <c r="O23" s="268" t="n"/>
      <c r="P23" s="268" t="n"/>
      <c r="Q23" s="268" t="n"/>
      <c r="R23" s="268" t="n"/>
      <c r="S23" s="268" t="n"/>
      <c r="T23" s="269" t="n"/>
      <c r="U23" s="48" t="n"/>
      <c r="W23" s="72" t="n"/>
      <c r="X23" s="72" t="n"/>
      <c r="Y23" s="72" t="n"/>
      <c r="Z23" s="72" t="n"/>
    </row>
    <row r="24" ht="30.45" customHeight="1" s="235">
      <c r="A24" s="139" t="n"/>
      <c r="B24" s="259">
        <f>B23+1</f>
        <v/>
      </c>
      <c r="C24" s="260">
        <f>B24</f>
        <v/>
      </c>
      <c r="D24" s="138">
        <f>IF(U24="稼働","稼働",IF(OR(WEEKDAY(B24)=1,WEEKDAY(B24)=7,C24="日",U24="祝日",U24="特休",U24="代休",U24="休み"),"休日",IF(C24="","","稼働")))</f>
        <v/>
      </c>
      <c r="E24" s="262" t="n">
        <v>0.375</v>
      </c>
      <c r="F24" s="263" t="n">
        <v>0.9583333333333334</v>
      </c>
      <c r="G24" s="266">
        <f>IF(AND(E24&lt;&gt;"",F24&lt;&gt;""),IF((F24-E24-マスタ!$B$7)&gt;マスタ!$C$7,マスタ!$B$7,IF((F24-E24-マスタ!$B$6)&gt;マスタ!$C$6,マスタ!$B$6,マスタ!$B$5)),"")</f>
        <v/>
      </c>
      <c r="H24" s="265">
        <f>IF(G24="","",F24-E24-G24)</f>
        <v/>
      </c>
      <c r="I24" s="266">
        <f>IF(D24="休日","",IF(F24&gt;マスタ!$C$2,IF(E24&lt;マスタ!$C$2,マスタ!$C$2-E24-(マスタ!$C$4-マスタ!$C$3),""),IF(E24&lt;マスタ!$C$2,F24-E24-G24,"")))</f>
        <v/>
      </c>
      <c r="J24" s="267">
        <f>IF(D24="休日","",IF(K24="",H24-I24,IF(H24=K24,"",H24-I24-K24)))</f>
        <v/>
      </c>
      <c r="K24" s="267">
        <f>IF(D24="休日","",IF(OR(E24="",F24=""),"",IF(F24&gt;$X$13,IF(F24&gt;$Z$13,$Z$13-$X$13,F24-$X$13),"")))</f>
        <v/>
      </c>
      <c r="L24" s="265">
        <f>IF(D24="休日",H24,"")</f>
        <v/>
      </c>
      <c r="M24" s="173" t="inlineStr">
        <is>
          <t>「PLの指示によりXXXXシステム変更作業のため休日出勤」のように
コメント記載する</t>
        </is>
      </c>
      <c r="N24" s="268" t="n"/>
      <c r="O24" s="268" t="n"/>
      <c r="P24" s="268" t="n"/>
      <c r="Q24" s="268" t="n"/>
      <c r="R24" s="268" t="n"/>
      <c r="S24" s="268" t="n"/>
      <c r="T24" s="269" t="n"/>
      <c r="U24" s="48" t="n"/>
      <c r="W24" s="72" t="n"/>
      <c r="X24" s="72" t="n"/>
      <c r="Y24" s="72" t="n"/>
      <c r="Z24" s="72" t="n"/>
    </row>
    <row r="25" ht="19.95" customHeight="1" s="235">
      <c r="A25" s="258">
        <f>IF(DAY(B25)=1,B25,"")</f>
        <v/>
      </c>
      <c r="B25" s="259">
        <f>B24+1</f>
        <v/>
      </c>
      <c r="C25" s="260">
        <f>B25</f>
        <v/>
      </c>
      <c r="D25" s="138">
        <f>IF(U25="稼働","稼働",IF(OR(WEEKDAY(B25)=1,WEEKDAY(B25)=7,C25="日",U25="祝日",U25="特休",U25="代休",U25="休み"),"休日",IF(C25="","","稼働")))</f>
        <v/>
      </c>
      <c r="E25" s="262" t="n"/>
      <c r="F25" s="263" t="n"/>
      <c r="G25" s="266">
        <f>IF(AND(E25&lt;&gt;"",F25&lt;&gt;""),IF((F25-E25-マスタ!$B$7)&gt;マスタ!$C$7,マスタ!$B$7,IF((F25-E25-マスタ!$B$6)&gt;マスタ!$C$6,マスタ!$B$6,マスタ!$B$5)),"")</f>
        <v/>
      </c>
      <c r="H25" s="265">
        <f>IF(G25="","",F25-E25-G25)</f>
        <v/>
      </c>
      <c r="I25" s="266">
        <f>IF(D25="休日","",IF(F25&gt;マスタ!$C$2,IF(E25&lt;マスタ!$C$2,マスタ!$C$2-E25-(マスタ!$C$4-マスタ!$C$3),""),IF(E25&lt;マスタ!$C$2,F25-E25-G25,"")))</f>
        <v/>
      </c>
      <c r="J25" s="267">
        <f>IF(D25="休日","",IF(K25="",H25-I25,IF(H25=K25,"",H25-I25-K25)))</f>
        <v/>
      </c>
      <c r="K25" s="267">
        <f>IF(D25="休日","",IF(OR(E25="",F25=""),"",IF(F25&gt;$X$13,IF(F25&gt;$Z$13,$Z$13-$X$13,F25-$X$13),"")))</f>
        <v/>
      </c>
      <c r="L25" s="265">
        <f>IF(D25="休日",H25,"")</f>
        <v/>
      </c>
      <c r="M25" s="173" t="inlineStr">
        <is>
          <t>例）祝日の場合、U列に「祝日」と入力</t>
        </is>
      </c>
      <c r="N25" s="268" t="n"/>
      <c r="O25" s="268" t="n"/>
      <c r="P25" s="268" t="n"/>
      <c r="Q25" s="268" t="n"/>
      <c r="R25" s="268" t="n"/>
      <c r="S25" s="268" t="n"/>
      <c r="T25" s="269" t="n"/>
      <c r="U25" s="48" t="inlineStr">
        <is>
          <t>祝日</t>
        </is>
      </c>
      <c r="W25" s="72" t="n"/>
      <c r="X25" s="72" t="n"/>
      <c r="Y25" s="72" t="n"/>
      <c r="Z25" s="72" t="n"/>
    </row>
    <row r="26" ht="19.95" customHeight="1" s="235">
      <c r="A26" s="258">
        <f>IF(DAY(B26)=1,B26,"")</f>
        <v/>
      </c>
      <c r="B26" s="259">
        <f>B25+1</f>
        <v/>
      </c>
      <c r="C26" s="260">
        <f>B26</f>
        <v/>
      </c>
      <c r="D26" s="138">
        <f>IF(U26="稼働","稼働",IF(OR(WEEKDAY(B26)=1,WEEKDAY(B26)=7,C26="日",U26="祝日",U26="特休",U26="代休",U26="休み"),"休日",IF(C26="","","稼働")))</f>
        <v/>
      </c>
      <c r="E26" s="262" t="n">
        <v>0.375</v>
      </c>
      <c r="F26" s="263" t="n">
        <v>0.5</v>
      </c>
      <c r="G26" s="266">
        <f>IF(AND(E26&lt;&gt;"",F26&lt;&gt;""),IF((F26-E26-マスタ!$B$7)&gt;マスタ!$C$7,マスタ!$B$7,IF((F26-E26-マスタ!$B$6)&gt;マスタ!$C$6,マスタ!$B$6,マスタ!$B$5)),"")</f>
        <v/>
      </c>
      <c r="H26" s="265">
        <f>IF(G26="","",F26-E26-G26)</f>
        <v/>
      </c>
      <c r="I26" s="266">
        <f>IF(D26="休日","",IF(F26&gt;マスタ!$C$2,IF(E26&lt;マスタ!$C$2,マスタ!$C$2-E26-(マスタ!$C$4-マスタ!$C$3),""),IF(E26&lt;マスタ!$C$2,F26-E26-G26,"")))</f>
        <v/>
      </c>
      <c r="J26" s="267">
        <f>IF(D26="休日","",IF(K26="",H26-I26,IF(H26=K26,"",H26-I26-K26)))</f>
        <v/>
      </c>
      <c r="K26" s="267">
        <f>IF(D26="休日","",IF(OR(E26="",F26=""),"",IF(F26&gt;$X$13,IF(F26&gt;$Z$13,$Z$13-$X$13,F26-$X$13),"")))</f>
        <v/>
      </c>
      <c r="L26" s="265">
        <f>IF(D26="休日",H26,"")</f>
        <v/>
      </c>
      <c r="M26" s="173" t="inlineStr">
        <is>
          <t>例）午後半休の場合</t>
        </is>
      </c>
      <c r="N26" s="268" t="n"/>
      <c r="O26" s="268" t="n"/>
      <c r="P26" s="268" t="n"/>
      <c r="Q26" s="268" t="n"/>
      <c r="R26" s="268" t="n"/>
      <c r="S26" s="268" t="n"/>
      <c r="T26" s="269" t="n"/>
      <c r="U26" s="48" t="n"/>
      <c r="W26" s="72" t="n"/>
      <c r="X26" s="72" t="n"/>
      <c r="Y26" s="72" t="n"/>
      <c r="Z26" s="72" t="n"/>
    </row>
    <row r="27" ht="19.95" customHeight="1" s="235">
      <c r="A27" s="258">
        <f>IF(DAY(B27)=1,B27,"")</f>
        <v/>
      </c>
      <c r="B27" s="259">
        <f>B26+1</f>
        <v/>
      </c>
      <c r="C27" s="260">
        <f>B27</f>
        <v/>
      </c>
      <c r="D27" s="138">
        <f>IF(U27="稼働","稼働",IF(OR(WEEKDAY(B27)=1,WEEKDAY(B27)=7,C27="日",U27="祝日",U27="特休",U27="代休",U27="休み"),"休日",IF(C27="","","稼働")))</f>
        <v/>
      </c>
      <c r="E27" s="262" t="n">
        <v>0.9166666666666666</v>
      </c>
      <c r="F27" s="263" t="n">
        <v>0.9583333333333334</v>
      </c>
      <c r="G27" s="266">
        <f>IF(AND(E27&lt;&gt;"",F27&lt;&gt;""),IF((F27-E27-マスタ!$B$7)&gt;マスタ!$C$7,マスタ!$B$7,IF((F27-E27-マスタ!$B$6)&gt;マスタ!$C$6,マスタ!$B$6,マスタ!$B$5)),"")</f>
        <v/>
      </c>
      <c r="H27" s="265">
        <f>IF(G27="","",F27-E27-G27)</f>
        <v/>
      </c>
      <c r="I27" s="266">
        <f>IF(D27="休日","",IF(F27&gt;マスタ!$C$2,IF(E27&lt;マスタ!$C$2,マスタ!$C$2-E27-(マスタ!$C$4-マスタ!$C$3),""),IF(E27&lt;マスタ!$C$2,F27-E27-G27,"")))</f>
        <v/>
      </c>
      <c r="J27" s="267">
        <f>IF(D27="休日","",IF(K27="",H27-I27,IF(H27=K27,"",H27-I27-K27)))</f>
        <v/>
      </c>
      <c r="K27" s="267">
        <f>IF(D27="休日","",IF(OR(E27="",F27=""),"",IF(F27&gt;$X$13,IF(F27&gt;$Z$13,$Z$13-$X$13,F27-$X$13),"")))</f>
        <v/>
      </c>
      <c r="L27" s="265">
        <f>IF(D27="休日",H27,"")</f>
        <v/>
      </c>
      <c r="M27" s="173" t="inlineStr">
        <is>
          <t>例）休暇日だったが、22:00～23:00の深夜対応をした場合</t>
        </is>
      </c>
      <c r="N27" s="268" t="n"/>
      <c r="O27" s="268" t="n"/>
      <c r="P27" s="268" t="n"/>
      <c r="Q27" s="268" t="n"/>
      <c r="R27" s="268" t="n"/>
      <c r="S27" s="268" t="n"/>
      <c r="T27" s="269" t="n"/>
      <c r="U27" s="48" t="n"/>
      <c r="W27" s="72" t="n"/>
      <c r="X27" s="72" t="n"/>
      <c r="Y27" s="72" t="n"/>
      <c r="Z27" s="72" t="n"/>
    </row>
    <row r="28" ht="19.95" customHeight="1" s="235">
      <c r="A28" s="258">
        <f>IF(DAY(B28)=1,B28,"")</f>
        <v/>
      </c>
      <c r="B28" s="259">
        <f>B27+1</f>
        <v/>
      </c>
      <c r="C28" s="260">
        <f>B28</f>
        <v/>
      </c>
      <c r="D28" s="138">
        <f>IF(U28="稼働","稼働",IF(OR(WEEKDAY(B28)=1,WEEKDAY(B28)=7,C28="日",U28="祝日",U28="特休",U28="代休",U28="休み"),"休日",IF(C28="","","稼働")))</f>
        <v/>
      </c>
      <c r="E28" s="262" t="n">
        <v>0.375</v>
      </c>
      <c r="F28" s="263" t="n">
        <v>0.8333333333333334</v>
      </c>
      <c r="G28" s="266">
        <f>IF(AND(E28&lt;&gt;"",F28&lt;&gt;""),IF((F28-E28-マスタ!$B$7)&gt;マスタ!$C$7,マスタ!$B$7,IF((F28-E28-マスタ!$B$6)&gt;マスタ!$C$6,マスタ!$B$6,マスタ!$B$5)),"")</f>
        <v/>
      </c>
      <c r="H28" s="265">
        <f>IF(G28="","",F28-E28-G28)</f>
        <v/>
      </c>
      <c r="I28" s="266">
        <f>IF(D28="休日","",IF(F28&gt;マスタ!$C$2,IF(E28&lt;マスタ!$C$2,マスタ!$C$2-E28-(マスタ!$C$4-マスタ!$C$3),""),IF(E28&lt;マスタ!$C$2,F28-E28-G28,"")))</f>
        <v/>
      </c>
      <c r="J28" s="267">
        <f>IF(D28="休日","",IF(K28="",H28-I28,IF(H28=K28,"",H28-I28-K28)))</f>
        <v/>
      </c>
      <c r="K28" s="267">
        <f>IF(D28="休日","",IF(OR(E28="",F28=""),"",IF(F28&gt;$X$13,IF(F28&gt;$Z$13,$Z$13-$X$13,F28-$X$13),"")))</f>
        <v/>
      </c>
      <c r="L28" s="265">
        <f>IF(D28="休日",H28,"")</f>
        <v/>
      </c>
      <c r="M28" s="173" t="n"/>
      <c r="N28" s="268" t="n"/>
      <c r="O28" s="268" t="n"/>
      <c r="P28" s="268" t="n"/>
      <c r="Q28" s="268" t="n"/>
      <c r="R28" s="268" t="n"/>
      <c r="S28" s="268" t="n"/>
      <c r="T28" s="269" t="n"/>
      <c r="U28" s="48" t="n"/>
      <c r="W28" s="72" t="n"/>
      <c r="X28" s="72" t="n"/>
      <c r="Y28" s="72" t="n"/>
      <c r="Z28" s="72" t="n"/>
    </row>
    <row r="29" ht="19.95" customHeight="1" s="235">
      <c r="A29" s="258" t="n"/>
      <c r="B29" s="259">
        <f>B28+1</f>
        <v/>
      </c>
      <c r="C29" s="260">
        <f>B29</f>
        <v/>
      </c>
      <c r="D29" s="138">
        <f>IF(U29="稼働","稼働",IF(OR(WEEKDAY(B29)=1,WEEKDAY(B29)=7,C29="日",U29="祝日",U29="特休",U29="代休",U29="休み"),"休日",IF(C29="","","稼働")))</f>
        <v/>
      </c>
      <c r="E29" s="262" t="n">
        <v>0.375</v>
      </c>
      <c r="F29" s="263" t="n">
        <v>0.7291666666666666</v>
      </c>
      <c r="G29" s="266">
        <f>IF(AND(E29&lt;&gt;"",F29&lt;&gt;""),IF((F29-E29-マスタ!$B$7)&gt;マスタ!$C$7,マスタ!$B$7,IF((F29-E29-マスタ!$B$6)&gt;マスタ!$C$6,マスタ!$B$6,マスタ!$B$5)),"")</f>
        <v/>
      </c>
      <c r="H29" s="265">
        <f>IF(G29="","",F29-E29-G29)</f>
        <v/>
      </c>
      <c r="I29" s="266">
        <f>IF(D29="休日","",IF(F29&gt;マスタ!$C$2,IF(E29&lt;マスタ!$C$2,マスタ!$C$2-E29-(マスタ!$C$4-マスタ!$C$3),""),IF(E29&lt;マスタ!$C$2,F29-E29-G29,"")))</f>
        <v/>
      </c>
      <c r="J29" s="267">
        <f>IF(D29="休日","",IF(K29="",H29-I29,IF(H29=K29,"",H29-I29-K29)))</f>
        <v/>
      </c>
      <c r="K29" s="267">
        <f>IF(D29="休日","",IF(OR(E29="",F29=""),"",IF(F29&gt;$X$13,IF(F29&gt;$Z$13,$Z$13-$X$13,F29-$X$13),"")))</f>
        <v/>
      </c>
      <c r="L29" s="265">
        <f>IF(D29="休日",H29,"")</f>
        <v/>
      </c>
      <c r="M29" s="173" t="n"/>
      <c r="N29" s="268" t="n"/>
      <c r="O29" s="268" t="n"/>
      <c r="P29" s="268" t="n"/>
      <c r="Q29" s="268" t="n"/>
      <c r="R29" s="268" t="n"/>
      <c r="S29" s="268" t="n"/>
      <c r="T29" s="269" t="n"/>
      <c r="U29" s="48" t="n"/>
      <c r="W29" s="72" t="n"/>
      <c r="X29" s="72" t="n"/>
      <c r="Y29" s="72" t="n"/>
      <c r="Z29" s="72" t="n"/>
    </row>
    <row r="30" ht="19.95" customHeight="1" s="235">
      <c r="A30" s="139" t="n"/>
      <c r="B30" s="259">
        <f>B29+1</f>
        <v/>
      </c>
      <c r="C30" s="260">
        <f>B30</f>
        <v/>
      </c>
      <c r="D30" s="138">
        <f>IF(U30="稼働","稼働",IF(OR(WEEKDAY(B30)=1,WEEKDAY(B30)=7,C30="日",U30="祝日",U30="特休",U30="代休",U30="休み"),"休日",IF(C30="","","稼働")))</f>
        <v/>
      </c>
      <c r="E30" s="262" t="n"/>
      <c r="F30" s="263" t="n"/>
      <c r="G30" s="266">
        <f>IF(AND(E30&lt;&gt;"",F30&lt;&gt;""),IF((F30-E30-マスタ!$B$7)&gt;マスタ!$C$7,マスタ!$B$7,IF((F30-E30-マスタ!$B$6)&gt;マスタ!$C$6,マスタ!$B$6,マスタ!$B$5)),"")</f>
        <v/>
      </c>
      <c r="H30" s="265">
        <f>IF(G30="","",F30-E30-G30)</f>
        <v/>
      </c>
      <c r="I30" s="266">
        <f>IF(D30="休日","",IF(F30&gt;マスタ!$C$2,IF(E30&lt;マスタ!$C$2,マスタ!$C$2-E30-(マスタ!$C$4-マスタ!$C$3),""),IF(E30&lt;マスタ!$C$2,F30-E30-G30,"")))</f>
        <v/>
      </c>
      <c r="J30" s="267">
        <f>IF(D30="休日","",IF(K30="",H30-I30,IF(H30=K30,"",H30-I30-K30)))</f>
        <v/>
      </c>
      <c r="K30" s="267">
        <f>IF(D30="休日","",IF(OR(E30="",F30=""),"",IF(F30&gt;$X$13,IF(F30&gt;$Z$13,$Z$13-$X$13,F30-$X$13),"")))</f>
        <v/>
      </c>
      <c r="L30" s="265">
        <f>IF(D30="休日",H30,"")</f>
        <v/>
      </c>
      <c r="M30" s="173" t="n"/>
      <c r="N30" s="268" t="n"/>
      <c r="O30" s="268" t="n"/>
      <c r="P30" s="268" t="n"/>
      <c r="Q30" s="268" t="n"/>
      <c r="R30" s="268" t="n"/>
      <c r="S30" s="268" t="n"/>
      <c r="T30" s="269" t="n"/>
      <c r="U30" s="48" t="n"/>
      <c r="W30" s="72" t="n"/>
      <c r="X30" s="72" t="n"/>
      <c r="Y30" s="72" t="n"/>
      <c r="Z30" s="72" t="n"/>
    </row>
    <row r="31" ht="19.95" customHeight="1" s="235">
      <c r="A31" s="139" t="n"/>
      <c r="B31" s="259">
        <f>B30+1</f>
        <v/>
      </c>
      <c r="C31" s="260">
        <f>B31</f>
        <v/>
      </c>
      <c r="D31" s="138">
        <f>IF(U31="稼働","稼働",IF(OR(WEEKDAY(B31)=1,WEEKDAY(B31)=7,C31="日",U31="祝日",U31="特休",U31="代休",U31="休み"),"休日",IF(C31="","","稼働")))</f>
        <v/>
      </c>
      <c r="E31" s="262" t="n"/>
      <c r="F31" s="263" t="n"/>
      <c r="G31" s="266">
        <f>IF(AND(E31&lt;&gt;"",F31&lt;&gt;""),IF((F31-E31-マスタ!$B$7)&gt;マスタ!$C$7,マスタ!$B$7,IF((F31-E31-マスタ!$B$6)&gt;マスタ!$C$6,マスタ!$B$6,マスタ!$B$5)),"")</f>
        <v/>
      </c>
      <c r="H31" s="265">
        <f>IF(G31="","",F31-E31-G31)</f>
        <v/>
      </c>
      <c r="I31" s="266">
        <f>IF(D31="休日","",IF(F31&gt;マスタ!$C$2,IF(E31&lt;マスタ!$C$2,マスタ!$C$2-E31-(マスタ!$C$4-マスタ!$C$3),""),IF(E31&lt;マスタ!$C$2,F31-E31-G31,"")))</f>
        <v/>
      </c>
      <c r="J31" s="267">
        <f>IF(D31="休日","",IF(K31="",H31-I31,IF(H31=K31,"",H31-I31-K31)))</f>
        <v/>
      </c>
      <c r="K31" s="267">
        <f>IF(D31="休日","",IF(OR(E31="",F31=""),"",IF(F31&gt;$X$13,IF(F31&gt;$Z$13,$Z$13-$X$13,F31-$X$13),"")))</f>
        <v/>
      </c>
      <c r="L31" s="265">
        <f>IF(D31="休日",H31,"")</f>
        <v/>
      </c>
      <c r="M31" s="173" t="n"/>
      <c r="N31" s="268" t="n"/>
      <c r="O31" s="268" t="n"/>
      <c r="P31" s="268" t="n"/>
      <c r="Q31" s="268" t="n"/>
      <c r="R31" s="268" t="n"/>
      <c r="S31" s="268" t="n"/>
      <c r="T31" s="269" t="n"/>
      <c r="U31" s="48" t="n"/>
      <c r="W31" s="72" t="n"/>
      <c r="X31" s="72" t="n"/>
      <c r="Y31" s="72" t="n"/>
      <c r="Z31" s="72" t="n"/>
    </row>
    <row r="32" ht="48" customHeight="1" s="235">
      <c r="A32" s="139" t="n"/>
      <c r="B32" s="259">
        <f>B31+1</f>
        <v/>
      </c>
      <c r="C32" s="260">
        <f>B32</f>
        <v/>
      </c>
      <c r="D32" s="138">
        <f>IF(U32="稼働","稼働",IF(OR(WEEKDAY(B32)=1,WEEKDAY(B32)=7,C32="日",U32="祝日",U32="特休",U32="代休",U32="休み"),"休日",IF(C32="","","稼働")))</f>
        <v/>
      </c>
      <c r="E32" s="262" t="n">
        <v>0.375</v>
      </c>
      <c r="F32" s="311" t="n">
        <v>0.9791666666666666</v>
      </c>
      <c r="G32" s="266">
        <f>IF(AND(E32&lt;&gt;"",F32&lt;&gt;""),IF((F32-E32-マスタ!$B$7)&gt;マスタ!$C$7,マスタ!$B$7,IF((F32-E32-マスタ!$B$6)&gt;マスタ!$C$6,マスタ!$B$6,マスタ!$B$5)),"")</f>
        <v/>
      </c>
      <c r="H32" s="312" t="n">
        <v>0.3854166666666667</v>
      </c>
      <c r="I32" s="266">
        <f>IF(D32="休日","",IF(F32&gt;マスタ!$C$2,IF(E32&lt;マスタ!$C$2,マスタ!$C$2-E32-(マスタ!$C$4-マスタ!$C$3),""),IF(E32&lt;マスタ!$C$2,F32-E32-G32,"")))</f>
        <v/>
      </c>
      <c r="J32" s="267">
        <f>IF(D32="休日","",IF(K32="",H32-I32,IF(H32=K32,"",H32-I32-K32)))</f>
        <v/>
      </c>
      <c r="K32" s="313" t="n">
        <v>0.04166666666666666</v>
      </c>
      <c r="L32" s="265">
        <f>IF(D32="休日",H32,"")</f>
        <v/>
      </c>
      <c r="M32" s="173" t="inlineStr">
        <is>
          <t>例）退勤後に22:30〜23:30の１時間、深夜対応をしたケース。
　　F列に最終時間、H列にその日の合計作業時間を手入力して下さい。
    K列の深夜時間を手入力してください。</t>
        </is>
      </c>
      <c r="N32" s="268" t="n"/>
      <c r="O32" s="268" t="n"/>
      <c r="P32" s="268" t="n"/>
      <c r="Q32" s="268" t="n"/>
      <c r="R32" s="268" t="n"/>
      <c r="S32" s="268" t="n"/>
      <c r="T32" s="269" t="n"/>
      <c r="U32" s="48" t="n"/>
      <c r="W32" s="72" t="n"/>
      <c r="X32" s="72" t="n"/>
      <c r="Y32" s="72" t="n"/>
      <c r="Z32" s="72" t="n"/>
    </row>
    <row r="33" ht="34.95" customHeight="1" s="235">
      <c r="A33" s="139" t="n"/>
      <c r="B33" s="259">
        <f>B32+1</f>
        <v/>
      </c>
      <c r="C33" s="260">
        <f>B33</f>
        <v/>
      </c>
      <c r="D33" s="138">
        <f>IF(U33="稼働","稼働",IF(OR(WEEKDAY(B33)=1,WEEKDAY(B33)=7,C33="日",U33="祝日",U33="特休",U33="代休",U33="休み"),"休日",IF(C33="","","稼働")))</f>
        <v/>
      </c>
      <c r="E33" s="262" t="n">
        <v>0.375</v>
      </c>
      <c r="F33" s="311" t="n">
        <v>0.9166666666666666</v>
      </c>
      <c r="G33" s="266">
        <f>IF(AND(E33&lt;&gt;"",F33&lt;&gt;""),IF((F33-E33-マスタ!$B$7)&gt;マスタ!$C$7,マスタ!$B$7,IF((F33-E33-マスタ!$B$6)&gt;マスタ!$C$6,マスタ!$B$6,マスタ!$B$5)),"")</f>
        <v/>
      </c>
      <c r="H33" s="312" t="n">
        <v>0.3645833333333333</v>
      </c>
      <c r="I33" s="266">
        <f>IF(D33="休日","",IF(F33&gt;マスタ!$C$2,IF(E33&lt;マスタ!$C$2,マスタ!$C$2-E33-(マスタ!$C$4-マスタ!$C$3),""),IF(E33&lt;マスタ!$C$2,F33-E33-G33,"")))</f>
        <v/>
      </c>
      <c r="J33" s="267">
        <f>IF(D33="休日","",IF(K33="",H33-I33,IF(H33=K33,"",H33-I33-K33)))</f>
        <v/>
      </c>
      <c r="K33" s="267">
        <f>IF(D33="休日","",IF(OR(E33="",F33=""),"",IF(F33&gt;$X$13,IF(F33&gt;$Z$13,$Z$13-$X$13,F33-$X$13),"")))</f>
        <v/>
      </c>
      <c r="L33" s="265">
        <f>IF(D33="休日",H33,"")</f>
        <v/>
      </c>
      <c r="M33" s="173" t="inlineStr">
        <is>
          <t>例）退勤後に21:00〜22:00の１時間の追加作業をしたケース。
　　F列に最終時間、H列にその日の合計作業時間を手入力して下さい。</t>
        </is>
      </c>
      <c r="N33" s="268" t="n"/>
      <c r="O33" s="268" t="n"/>
      <c r="P33" s="268" t="n"/>
      <c r="Q33" s="268" t="n"/>
      <c r="R33" s="268" t="n"/>
      <c r="S33" s="268" t="n"/>
      <c r="T33" s="269" t="n"/>
      <c r="U33" s="48" t="n"/>
      <c r="W33" s="72" t="n"/>
      <c r="X33" s="72" t="n"/>
      <c r="Y33" s="72" t="n"/>
      <c r="Z33" s="72" t="n"/>
    </row>
    <row r="34" ht="19.95" customHeight="1" s="235">
      <c r="A34" s="139" t="n"/>
      <c r="B34" s="259">
        <f>B33+1</f>
        <v/>
      </c>
      <c r="C34" s="260">
        <f>B34</f>
        <v/>
      </c>
      <c r="D34" s="138">
        <f>IF(U34="稼働","稼働",IF(OR(WEEKDAY(B34)=1,WEEKDAY(B34)=7,C34="日",U34="祝日",U34="特休",U34="代休",U34="休み"),"休日",IF(C34="","","稼働")))</f>
        <v/>
      </c>
      <c r="E34" s="262" t="n">
        <v>0.375</v>
      </c>
      <c r="F34" s="263" t="n">
        <v>0.7291666666666666</v>
      </c>
      <c r="G34" s="266">
        <f>IF(AND(E34&lt;&gt;"",F34&lt;&gt;""),IF((F34-E34-マスタ!$B$7)&gt;マスタ!$C$7,マスタ!$B$7,IF((F34-E34-マスタ!$B$6)&gt;マスタ!$C$6,マスタ!$B$6,マスタ!$B$5)),"")</f>
        <v/>
      </c>
      <c r="H34" s="265">
        <f>IF(G34="","",F34-E34-G34)</f>
        <v/>
      </c>
      <c r="I34" s="266">
        <f>IF(D34="休日","",IF(F34&gt;マスタ!$C$2,IF(E34&lt;マスタ!$C$2,マスタ!$C$2-E34-(マスタ!$C$4-マスタ!$C$3),""),IF(E34&lt;マスタ!$C$2,F34-E34-G34,"")))</f>
        <v/>
      </c>
      <c r="J34" s="267">
        <f>IF(D34="休日","",IF(K34="",H34-I34,IF(H34=K34,"",H34-I34-K34)))</f>
        <v/>
      </c>
      <c r="K34" s="267">
        <f>IF(D34="休日","",IF(OR(E34="",F34=""),"",IF(F34&gt;$X$13,IF(F34&gt;$Z$13,$Z$13-$X$13,F34-$X$13),"")))</f>
        <v/>
      </c>
      <c r="L34" s="265">
        <f>IF(D34="休日",H34,"")</f>
        <v/>
      </c>
      <c r="M34" s="173" t="n"/>
      <c r="N34" s="268" t="n"/>
      <c r="O34" s="268" t="n"/>
      <c r="P34" s="268" t="n"/>
      <c r="Q34" s="268" t="n"/>
      <c r="R34" s="268" t="n"/>
      <c r="S34" s="268" t="n"/>
      <c r="T34" s="269" t="n"/>
      <c r="U34" s="48" t="n"/>
      <c r="W34" s="72" t="n"/>
      <c r="X34" s="72" t="n"/>
      <c r="Y34" s="72" t="n"/>
      <c r="Z34" s="72" t="n"/>
    </row>
    <row r="35" ht="19.95" customHeight="1" s="235">
      <c r="A35" s="139" t="n"/>
      <c r="B35" s="259">
        <f>B34+1</f>
        <v/>
      </c>
      <c r="C35" s="260">
        <f>B35</f>
        <v/>
      </c>
      <c r="D35" s="138">
        <f>IF(U35="稼働","稼働",IF(OR(WEEKDAY(B35)=1,WEEKDAY(B35)=7,C35="日",U35="祝日",U35="特休",U35="代休",U35="休み"),"休日",IF(C35="","","稼働")))</f>
        <v/>
      </c>
      <c r="E35" s="262" t="n"/>
      <c r="F35" s="263" t="n"/>
      <c r="G35" s="266">
        <f>IF(AND(E35&lt;&gt;"",F35&lt;&gt;""),IF((F35-E35-マスタ!$B$7)&gt;マスタ!$C$7,マスタ!$B$7,IF((F35-E35-マスタ!$B$6)&gt;マスタ!$C$6,マスタ!$B$6,マスタ!$B$5)),"")</f>
        <v/>
      </c>
      <c r="H35" s="265">
        <f>IF(G35="","",F35-E35-G35)</f>
        <v/>
      </c>
      <c r="I35" s="266">
        <f>IF(D35="休日","",IF(F35&gt;マスタ!$C$2,IF(E35&lt;マスタ!$C$2,マスタ!$C$2-E35-(マスタ!$C$4-マスタ!$C$3),""),IF(E35&lt;マスタ!$C$2,F35-E35-G35,"")))</f>
        <v/>
      </c>
      <c r="J35" s="267">
        <f>IF(D35="休日","",IF(K35="",H35-I35,IF(H35=K35,"",H35-I35-K35)))</f>
        <v/>
      </c>
      <c r="K35" s="267">
        <f>IF(D35="休日","",IF(OR(E35="",F35=""),"",IF(F35&gt;$X$13,IF(F35&gt;$Z$13,$Z$13-$X$13,F35-$X$13),"")))</f>
        <v/>
      </c>
      <c r="L35" s="265">
        <f>IF(D35="休日",H35,"")</f>
        <v/>
      </c>
      <c r="M35" s="173" t="inlineStr">
        <is>
          <t>例）年休、代休など休暇の場合、U列に「休み」と入力</t>
        </is>
      </c>
      <c r="N35" s="268" t="n"/>
      <c r="O35" s="268" t="n"/>
      <c r="P35" s="268" t="n"/>
      <c r="Q35" s="268" t="n"/>
      <c r="R35" s="268" t="n"/>
      <c r="S35" s="268" t="n"/>
      <c r="T35" s="269" t="n"/>
      <c r="U35" s="48" t="inlineStr">
        <is>
          <t>休み</t>
        </is>
      </c>
      <c r="V35" s="23" t="n"/>
      <c r="W35" s="72" t="n"/>
      <c r="X35" s="72" t="n"/>
      <c r="Y35" s="72" t="n"/>
      <c r="Z35" s="72" t="n"/>
    </row>
    <row r="36" ht="19.95" customHeight="1" s="235">
      <c r="A36" s="139" t="n"/>
      <c r="B36" s="259">
        <f>B35+1</f>
        <v/>
      </c>
      <c r="C36" s="260">
        <f>B36</f>
        <v/>
      </c>
      <c r="D36" s="138">
        <f>IF(U36="稼働","稼働",IF(OR(WEEKDAY(B36)=1,WEEKDAY(B36)=7,C36="日",U36="祝日",U36="特休",U36="代休",U36="休み"),"休日",IF(C36="","","稼働")))</f>
        <v/>
      </c>
      <c r="E36" s="262" t="n">
        <v>0.375</v>
      </c>
      <c r="F36" s="263" t="n">
        <v>0.7291666666666666</v>
      </c>
      <c r="G36" s="266">
        <f>IF(AND(E36&lt;&gt;"",F36&lt;&gt;""),IF((F36-E36-マスタ!$B$7)&gt;マスタ!$C$7,マスタ!$B$7,IF((F36-E36-マスタ!$B$6)&gt;マスタ!$C$6,マスタ!$B$6,マスタ!$B$5)),"")</f>
        <v/>
      </c>
      <c r="H36" s="265">
        <f>IF(G36="","",F36-E36-G36)</f>
        <v/>
      </c>
      <c r="I36" s="266">
        <f>IF(D36="休日","",IF(F36&gt;マスタ!$C$2,IF(E36&lt;マスタ!$C$2,マスタ!$C$2-E36-(マスタ!$C$4-マスタ!$C$3),""),IF(E36&lt;マスタ!$C$2,F36-E36-G36,"")))</f>
        <v/>
      </c>
      <c r="J36" s="267">
        <f>IF(D36="休日","",IF(K36="",H36-I36,IF(H36=K36,"",H36-I36-K36)))</f>
        <v/>
      </c>
      <c r="K36" s="267">
        <f>IF(D36="休日","",IF(OR(E36="",F36=""),"",IF(F36&gt;$X$13,IF(F36&gt;$Z$13,$Z$13-$X$13,F36-$X$13),"")))</f>
        <v/>
      </c>
      <c r="L36" s="265">
        <f>IF(D36="休日",H36,"")</f>
        <v/>
      </c>
      <c r="M36" s="173" t="n"/>
      <c r="N36" s="268" t="n"/>
      <c r="O36" s="268" t="n"/>
      <c r="P36" s="268" t="n"/>
      <c r="Q36" s="268" t="n"/>
      <c r="R36" s="268" t="n"/>
      <c r="S36" s="268" t="n"/>
      <c r="T36" s="269" t="n"/>
      <c r="U36" s="48" t="n"/>
      <c r="W36" s="72" t="n"/>
      <c r="X36" s="72" t="n"/>
      <c r="Y36" s="72" t="n"/>
      <c r="Z36" s="72" t="n"/>
    </row>
    <row r="37" ht="19.95" customHeight="1" s="235">
      <c r="A37" s="139" t="n"/>
      <c r="B37" s="259">
        <f>B36+1</f>
        <v/>
      </c>
      <c r="C37" s="260">
        <f>B37</f>
        <v/>
      </c>
      <c r="D37" s="138">
        <f>IF(U37="稼働","稼働",IF(OR(WEEKDAY(B37)=1,WEEKDAY(B37)=7,C37="日",U37="祝日",U37="特休",U37="代休",U37="休み"),"休日",IF(C37="","","稼働")))</f>
        <v/>
      </c>
      <c r="E37" s="262" t="n"/>
      <c r="F37" s="263" t="n"/>
      <c r="G37" s="266">
        <f>IF(AND(E37&lt;&gt;"",F37&lt;&gt;""),IF((F37-E37-マスタ!$B$7)&gt;マスタ!$C$7,マスタ!$B$7,IF((F37-E37-マスタ!$B$6)&gt;マスタ!$C$6,マスタ!$B$6,マスタ!$B$5)),"")</f>
        <v/>
      </c>
      <c r="H37" s="265">
        <f>IF(G37="","",F37-E37-G37)</f>
        <v/>
      </c>
      <c r="I37" s="266">
        <f>IF(D37="休日","",IF(F37&gt;マスタ!$C$2,IF(E37&lt;マスタ!$C$2,マスタ!$C$2-E37-(マスタ!$C$4-マスタ!$C$3),""),IF(E37&lt;マスタ!$C$2,F37-E37-G37,"")))</f>
        <v/>
      </c>
      <c r="J37" s="267">
        <f>IF(D37="休日","",IF(K37="",H37-I37,IF(H37=K37,"",H37-I37-K37)))</f>
        <v/>
      </c>
      <c r="K37" s="267">
        <f>IF(D37="休日","",IF(OR(E37="",F37=""),"",IF(F37&gt;$X$13,IF(F37&gt;$Z$13,$Z$13-$X$13,F37-$X$13),"")))</f>
        <v/>
      </c>
      <c r="L37" s="265">
        <f>IF(D37="休日",H37,"")</f>
        <v/>
      </c>
      <c r="M37" s="173" t="n"/>
      <c r="N37" s="268" t="n"/>
      <c r="O37" s="268" t="n"/>
      <c r="P37" s="268" t="n"/>
      <c r="Q37" s="268" t="n"/>
      <c r="R37" s="268" t="n"/>
      <c r="S37" s="268" t="n"/>
      <c r="T37" s="269" t="n"/>
      <c r="U37" s="48" t="n"/>
      <c r="W37" s="72" t="n"/>
      <c r="X37" s="72" t="n"/>
      <c r="Y37" s="72" t="n"/>
      <c r="Z37" s="72" t="n"/>
    </row>
    <row r="38" ht="19.95" customHeight="1" s="235">
      <c r="A38" s="139" t="n"/>
      <c r="B38" s="259">
        <f>B37+1</f>
        <v/>
      </c>
      <c r="C38" s="260">
        <f>B38</f>
        <v/>
      </c>
      <c r="D38" s="138">
        <f>IF(U38="稼働","稼働",IF(OR(WEEKDAY(B38)=1,WEEKDAY(B38)=7,C38="日",U38="祝日",U38="特休",U38="代休",U38="休み"),"休日",IF(C38="","","稼働")))</f>
        <v/>
      </c>
      <c r="E38" s="262" t="n"/>
      <c r="F38" s="263" t="n"/>
      <c r="G38" s="266">
        <f>IF(AND(E38&lt;&gt;"",F38&lt;&gt;""),IF((F38-E38-マスタ!$B$7)&gt;マスタ!$C$7,マスタ!$B$7,IF((F38-E38-マスタ!$B$6)&gt;マスタ!$C$6,マスタ!$B$6,マスタ!$B$5)),"")</f>
        <v/>
      </c>
      <c r="H38" s="265">
        <f>IF(G38="","",F38-E38-G38)</f>
        <v/>
      </c>
      <c r="I38" s="266">
        <f>IF(D38="休日","",IF(F38&gt;マスタ!$C$2,IF(E38&lt;マスタ!$C$2,マスタ!$C$2-E38-(マスタ!$C$4-マスタ!$C$3),""),IF(E38&lt;マスタ!$C$2,F38-E38-G38,"")))</f>
        <v/>
      </c>
      <c r="J38" s="267">
        <f>IF(D38="休日","",IF(K38="",H38-I38,IF(H38=K38,"",H38-I38-K38)))</f>
        <v/>
      </c>
      <c r="K38" s="267">
        <f>IF(D38="休日","",IF(OR(E38="",F38=""),"",IF(F38&gt;$X$13,IF(F38&gt;$Z$13,$Z$13-$X$13,F38-$X$13),"")))</f>
        <v/>
      </c>
      <c r="L38" s="265">
        <f>IF(D38="休日",H38,"")</f>
        <v/>
      </c>
      <c r="M38" s="173" t="n"/>
      <c r="N38" s="268" t="n"/>
      <c r="O38" s="268" t="n"/>
      <c r="P38" s="268" t="n"/>
      <c r="Q38" s="268" t="n"/>
      <c r="R38" s="268" t="n"/>
      <c r="S38" s="268" t="n"/>
      <c r="T38" s="269" t="n"/>
      <c r="U38" s="48" t="n"/>
      <c r="W38" s="72" t="n"/>
      <c r="X38" s="72" t="n"/>
      <c r="Y38" s="72" t="n"/>
      <c r="Z38" s="72" t="n"/>
    </row>
    <row r="39" ht="19.95" customHeight="1" s="235">
      <c r="A39" s="139" t="n"/>
      <c r="B39" s="259">
        <f>B38+1</f>
        <v/>
      </c>
      <c r="C39" s="260">
        <f>B39</f>
        <v/>
      </c>
      <c r="D39" s="138">
        <f>IF(U39="稼働","稼働",IF(OR(WEEKDAY(B39)=1,WEEKDAY(B39)=7,C39="日",U39="祝日",U39="特休",U39="代休",U39="休み"),"休日",IF(C39="","","稼働")))</f>
        <v/>
      </c>
      <c r="E39" s="262" t="n">
        <v>0.375</v>
      </c>
      <c r="F39" s="263" t="n">
        <v>0.7291666666666666</v>
      </c>
      <c r="G39" s="266">
        <f>IF(AND(E39&lt;&gt;"",F39&lt;&gt;""),IF((F39-E39-マスタ!$B$7)&gt;マスタ!$C$7,マスタ!$B$7,IF((F39-E39-マスタ!$B$6)&gt;マスタ!$C$6,マスタ!$B$6,マスタ!$B$5)),"")</f>
        <v/>
      </c>
      <c r="H39" s="265">
        <f>IF(G39="","",F39-E39-G39)</f>
        <v/>
      </c>
      <c r="I39" s="266">
        <f>IF(D39="休日","",IF(F39&gt;マスタ!$C$2,IF(E39&lt;マスタ!$C$2,マスタ!$C$2-E39-(マスタ!$C$4-マスタ!$C$3),""),IF(E39&lt;マスタ!$C$2,F39-E39-G39,"")))</f>
        <v/>
      </c>
      <c r="J39" s="267">
        <f>IF(D39="休日","",IF(K39="",H39-I39,IF(H39=K39,"",H39-I39-K39)))</f>
        <v/>
      </c>
      <c r="K39" s="267">
        <f>IF(D39="休日","",IF(OR(E39="",F39=""),"",IF(F39&gt;$X$13,IF(F39&gt;$Z$13,$Z$13-$X$13,F39-$X$13),"")))</f>
        <v/>
      </c>
      <c r="L39" s="265">
        <f>IF(D39="休日",H39,"")</f>
        <v/>
      </c>
      <c r="M39" s="173" t="n"/>
      <c r="N39" s="268" t="n"/>
      <c r="O39" s="268" t="n"/>
      <c r="P39" s="268" t="n"/>
      <c r="Q39" s="268" t="n"/>
      <c r="R39" s="268" t="n"/>
      <c r="S39" s="268" t="n"/>
      <c r="T39" s="269" t="n"/>
      <c r="U39" s="48" t="n"/>
      <c r="W39" s="72" t="n"/>
      <c r="X39" s="72" t="n"/>
      <c r="Y39" s="72" t="n"/>
      <c r="Z39" s="72" t="n"/>
    </row>
    <row r="40" ht="19.95" customHeight="1" s="235">
      <c r="A40" s="139" t="n"/>
      <c r="B40" s="259">
        <f>B39+1</f>
        <v/>
      </c>
      <c r="C40" s="260">
        <f>B40</f>
        <v/>
      </c>
      <c r="D40" s="138">
        <f>IF(U40="稼働","稼働",IF(OR(WEEKDAY(B40)=1,WEEKDAY(B40)=7,C40="日",U40="祝日",U40="特休",U40="代休",U40="休み"),"休日",IF(C40="","","稼働")))</f>
        <v/>
      </c>
      <c r="E40" s="262" t="n">
        <v>0.375</v>
      </c>
      <c r="F40" s="263" t="n">
        <v>0.7291666666666666</v>
      </c>
      <c r="G40" s="266">
        <f>IF(AND(E40&lt;&gt;"",F40&lt;&gt;""),IF((F40-E40-マスタ!$B$7)&gt;マスタ!$C$7,マスタ!$B$7,IF((F40-E40-マスタ!$B$6)&gt;マスタ!$C$6,マスタ!$B$6,マスタ!$B$5)),"")</f>
        <v/>
      </c>
      <c r="H40" s="265">
        <f>IF(G40="","",F40-E40-G40)</f>
        <v/>
      </c>
      <c r="I40" s="266">
        <f>IF(D40="休日","",IF(F40&gt;マスタ!$C$2,IF(E40&lt;マスタ!$C$2,マスタ!$C$2-E40-(マスタ!$C$4-マスタ!$C$3),""),IF(E40&lt;マスタ!$C$2,F40-E40-G40,"")))</f>
        <v/>
      </c>
      <c r="J40" s="267">
        <f>IF(D40="休日","",IF(K40="",H40-I40,IF(H40=K40,"",H40-I40-K40)))</f>
        <v/>
      </c>
      <c r="K40" s="267">
        <f>IF(D40="休日","",IF(OR(E40="",F40=""),"",IF(F40&gt;$X$13,IF(F40&gt;$Z$13,$Z$13-$X$13,F40-$X$13),"")))</f>
        <v/>
      </c>
      <c r="L40" s="265">
        <f>IF(D40="休日",H40,"")</f>
        <v/>
      </c>
      <c r="M40" s="173" t="n"/>
      <c r="N40" s="268" t="n"/>
      <c r="O40" s="268" t="n"/>
      <c r="P40" s="268" t="n"/>
      <c r="Q40" s="268" t="n"/>
      <c r="R40" s="268" t="n"/>
      <c r="S40" s="268" t="n"/>
      <c r="T40" s="269" t="n"/>
      <c r="U40" s="48" t="n"/>
      <c r="W40" s="72" t="n"/>
      <c r="X40" s="72" t="n"/>
      <c r="Y40" s="72" t="n"/>
      <c r="Z40" s="72" t="n"/>
    </row>
    <row r="41" ht="19.95" customHeight="1" s="235">
      <c r="A41" s="139" t="n"/>
      <c r="B41" s="259">
        <f>B40+1</f>
        <v/>
      </c>
      <c r="C41" s="260">
        <f>B41</f>
        <v/>
      </c>
      <c r="D41" s="138">
        <f>IF(U41="稼働","稼働",IF(OR(WEEKDAY(B41)=1,WEEKDAY(B41)=7,C41="日",U41="祝日",U41="特休",U41="代休",U41="休み"),"休日",IF(C41="","","稼働")))</f>
        <v/>
      </c>
      <c r="E41" s="262" t="n">
        <v>0.375</v>
      </c>
      <c r="F41" s="263" t="n">
        <v>0.7291666666666666</v>
      </c>
      <c r="G41" s="266">
        <f>IF(AND(E41&lt;&gt;"",F41&lt;&gt;""),IF((F41-E41-マスタ!$B$7)&gt;マスタ!$C$7,マスタ!$B$7,IF((F41-E41-マスタ!$B$6)&gt;マスタ!$C$6,マスタ!$B$6,マスタ!$B$5)),"")</f>
        <v/>
      </c>
      <c r="H41" s="265">
        <f>IF(G41="","",F41-E41-G41)</f>
        <v/>
      </c>
      <c r="I41" s="266">
        <f>IF(D41="休日","",IF(F41&gt;マスタ!$C$2,IF(E41&lt;マスタ!$C$2,マスタ!$C$2-E41-(マスタ!$C$4-マスタ!$C$3),""),IF(E41&lt;マスタ!$C$2,F41-E41-G41,"")))</f>
        <v/>
      </c>
      <c r="J41" s="267">
        <f>IF(D41="休日","",IF(K41="",H41-I41,IF(H41=K41,"",H41-I41-K41)))</f>
        <v/>
      </c>
      <c r="K41" s="267">
        <f>IF(D41="休日","",IF(OR(E41="",F41=""),"",IF(F41&gt;$X$13,IF(F41&gt;$Z$13,$Z$13-$X$13,F41-$X$13),"")))</f>
        <v/>
      </c>
      <c r="L41" s="265">
        <f>IF(D41="休日",H41,"")</f>
        <v/>
      </c>
      <c r="M41" s="173" t="n"/>
      <c r="N41" s="268" t="n"/>
      <c r="O41" s="268" t="n"/>
      <c r="P41" s="268" t="n"/>
      <c r="Q41" s="268" t="n"/>
      <c r="R41" s="268" t="n"/>
      <c r="S41" s="268" t="n"/>
      <c r="T41" s="269" t="n"/>
      <c r="U41" s="48" t="n"/>
      <c r="W41" s="72" t="n"/>
      <c r="X41" s="72" t="n"/>
      <c r="Y41" s="72" t="n"/>
      <c r="Z41" s="72" t="n"/>
    </row>
    <row r="42" ht="19.95" customHeight="1" s="235">
      <c r="A42" s="139" t="n"/>
      <c r="B42" s="259">
        <f>B41+1</f>
        <v/>
      </c>
      <c r="C42" s="260">
        <f>B42</f>
        <v/>
      </c>
      <c r="D42" s="138">
        <f>IF(U42="稼働","稼働",IF(OR(WEEKDAY(B42)=1,WEEKDAY(B42)=7,C42="日",U42="祝日",U42="特休",U42="代休",U42="休み"),"休日",IF(C42="","","稼働")))</f>
        <v/>
      </c>
      <c r="E42" s="262" t="n">
        <v>0.375</v>
      </c>
      <c r="F42" s="263" t="n">
        <v>0.7291666666666666</v>
      </c>
      <c r="G42" s="266">
        <f>IF(AND(E42&lt;&gt;"",F42&lt;&gt;""),IF((F42-E42-マスタ!$B$7)&gt;マスタ!$C$7,マスタ!$B$7,IF((F42-E42-マスタ!$B$6)&gt;マスタ!$C$6,マスタ!$B$6,マスタ!$B$5)),"")</f>
        <v/>
      </c>
      <c r="H42" s="265">
        <f>IF(G42="","",F42-E42-G42)</f>
        <v/>
      </c>
      <c r="I42" s="266">
        <f>IF(D42="休日","",IF(F42&gt;マスタ!$C$2,IF(E42&lt;マスタ!$C$2,マスタ!$C$2-E42-(マスタ!$C$4-マスタ!$C$3),""),IF(E42&lt;マスタ!$C$2,F42-E42-G42,"")))</f>
        <v/>
      </c>
      <c r="J42" s="267">
        <f>IF(D42="休日","",IF(K42="",H42-I42,IF(H42=K42,"",H42-I42-K42)))</f>
        <v/>
      </c>
      <c r="K42" s="267">
        <f>IF(D42="休日","",IF(OR(E42="",F42=""),"",IF(F42&gt;$X$13,IF(F42&gt;$Z$13,$Z$13-$X$13,F42-$X$13),"")))</f>
        <v/>
      </c>
      <c r="L42" s="265">
        <f>IF(D42="休日",H42,"")</f>
        <v/>
      </c>
      <c r="M42" s="173" t="n"/>
      <c r="N42" s="268" t="n"/>
      <c r="O42" s="268" t="n"/>
      <c r="P42" s="268" t="n"/>
      <c r="Q42" s="268" t="n"/>
      <c r="R42" s="268" t="n"/>
      <c r="S42" s="268" t="n"/>
      <c r="T42" s="269" t="n"/>
      <c r="U42" s="49" t="n"/>
      <c r="W42" s="72" t="n"/>
      <c r="X42" s="72" t="n"/>
      <c r="Y42" s="72" t="n"/>
      <c r="Z42" s="72" t="n"/>
    </row>
    <row r="43" ht="19.95" customHeight="1" s="235">
      <c r="A43" s="139" t="n"/>
      <c r="B43" s="259">
        <f>B42+1</f>
        <v/>
      </c>
      <c r="C43" s="260">
        <f>B43</f>
        <v/>
      </c>
      <c r="D43" s="138">
        <f>IF(U43="稼働","稼働",IF(OR(WEEKDAY(B43)=1,WEEKDAY(B43)=7,C43="日",U43="祝日",U43="特休",U43="代休",U43="休み"),"休日",IF(C43="","","稼働")))</f>
        <v/>
      </c>
      <c r="E43" s="262" t="n">
        <v>0.375</v>
      </c>
      <c r="F43" s="263" t="n">
        <v>0.7291666666666666</v>
      </c>
      <c r="G43" s="266">
        <f>IF(AND(E43&lt;&gt;"",F43&lt;&gt;""),IF((F43-E43-マスタ!$B$7)&gt;マスタ!$C$7,マスタ!$B$7,IF((F43-E43-マスタ!$B$6)&gt;マスタ!$C$6,マスタ!$B$6,マスタ!$B$5)),"")</f>
        <v/>
      </c>
      <c r="H43" s="265">
        <f>IF(G43="","",F43-E43-G43)</f>
        <v/>
      </c>
      <c r="I43" s="266">
        <f>IF(D43="休日","",IF(F43&gt;マスタ!$C$2,IF(E43&lt;マスタ!$C$2,マスタ!$C$2-E43-(マスタ!$C$4-マスタ!$C$3),""),IF(E43&lt;マスタ!$C$2,F43-E43-G43,"")))</f>
        <v/>
      </c>
      <c r="J43" s="267">
        <f>IF(D43="休日","",IF(K43="",H43-I43,IF(H43=K43,"",H43-I43-K43)))</f>
        <v/>
      </c>
      <c r="K43" s="267">
        <f>IF(D43="休日","",IF(OR(E43="",F43=""),"",IF(F43&gt;$X$13,IF(F43&gt;$Z$13,$Z$13-$X$13,F43-$X$13),"")))</f>
        <v/>
      </c>
      <c r="L43" s="265">
        <f>IF(D43="休日",H43,"")</f>
        <v/>
      </c>
      <c r="M43" s="173" t="n"/>
      <c r="N43" s="268" t="n"/>
      <c r="O43" s="268" t="n"/>
      <c r="P43" s="268" t="n"/>
      <c r="Q43" s="268" t="n"/>
      <c r="R43" s="268" t="n"/>
      <c r="S43" s="268" t="n"/>
      <c r="T43" s="269" t="n"/>
      <c r="U43" s="48" t="n"/>
      <c r="W43" s="72" t="n"/>
      <c r="X43" s="72" t="n"/>
      <c r="Y43" s="72" t="n"/>
      <c r="Z43" s="72" t="n"/>
    </row>
    <row r="44" ht="19.95" customHeight="1" s="235">
      <c r="A44" s="139" t="n"/>
      <c r="B44" s="259">
        <f>B43+1</f>
        <v/>
      </c>
      <c r="C44" s="260">
        <f>B44</f>
        <v/>
      </c>
      <c r="D44" s="138">
        <f>IF(U44="稼働","稼働",IF(OR(WEEKDAY(B44)=1,WEEKDAY(B44)=7,C44="日",U44="祝日",U44="特休",U44="代休",U44="休み"),"休日",IF(C44="","","稼働")))</f>
        <v/>
      </c>
      <c r="E44" s="262" t="n"/>
      <c r="F44" s="263" t="n"/>
      <c r="G44" s="266">
        <f>IF(AND(E44&lt;&gt;"",F44&lt;&gt;""),IF((F44-E44-マスタ!$B$7)&gt;マスタ!$C$7,マスタ!$B$7,IF((F44-E44-マスタ!$B$6)&gt;マスタ!$C$6,マスタ!$B$6,マスタ!$B$5)),"")</f>
        <v/>
      </c>
      <c r="H44" s="265">
        <f>IF(G44="","",F44-E44-G44)</f>
        <v/>
      </c>
      <c r="I44" s="266">
        <f>IF(D44="休日","",IF(F44&gt;マスタ!$C$2,IF(E44&lt;マスタ!$C$2,マスタ!$C$2-E44-(マスタ!$C$4-マスタ!$C$3),""),IF(E44&lt;マスタ!$C$2,F44-E44-G44,"")))</f>
        <v/>
      </c>
      <c r="J44" s="267">
        <f>IF(D44="休日","",IF(K44="",H44-I44,IF(H44=K44,"",H44-I44-K44)))</f>
        <v/>
      </c>
      <c r="K44" s="267">
        <f>IF(D44="休日","",IF(OR(E44="",F44=""),"",IF(F44&gt;$X$13,IF(F44&gt;$Z$13,$Z$13-$X$13,F44-$X$13),"")))</f>
        <v/>
      </c>
      <c r="L44" s="265">
        <f>IF(D44="休日",H44,"")</f>
        <v/>
      </c>
      <c r="M44" s="173" t="n"/>
      <c r="N44" s="268" t="n"/>
      <c r="O44" s="268" t="n"/>
      <c r="P44" s="268" t="n"/>
      <c r="Q44" s="268" t="n"/>
      <c r="R44" s="268" t="n"/>
      <c r="S44" s="268" t="n"/>
      <c r="T44" s="269" t="n"/>
      <c r="U44" s="48" t="n"/>
      <c r="W44" s="72" t="n"/>
      <c r="X44" s="72" t="n"/>
      <c r="Y44" s="72" t="n"/>
      <c r="Z44" s="72" t="n"/>
    </row>
    <row r="45" ht="19.95" customHeight="1" s="235">
      <c r="A45" s="139" t="n"/>
      <c r="B45" s="259">
        <f>IF(DAY(B44+1) &lt; 5,"",B44+1)</f>
        <v/>
      </c>
      <c r="C45" s="260">
        <f>B45</f>
        <v/>
      </c>
      <c r="D45" s="138">
        <f>IF(U45="稼働","稼働",IF(OR(WEEKDAY(B45)=1,WEEKDAY(B45)=7,C45="日",U45="祝日",U45="特休",U45="代休",U45="休み"),"休日",IF(C45="","","稼働")))</f>
        <v/>
      </c>
      <c r="E45" s="262" t="n"/>
      <c r="F45" s="263" t="n"/>
      <c r="G45" s="266">
        <f>IF(AND(E45&lt;&gt;"",F45&lt;&gt;""),IF((F45-E45-マスタ!$B$7)&gt;マスタ!$C$7,マスタ!$B$7,IF((F45-E45-マスタ!$B$6)&gt;マスタ!$C$6,マスタ!$B$6,マスタ!$B$5)),"")</f>
        <v/>
      </c>
      <c r="H45" s="265">
        <f>IF(G45="","",F45-E45-G45)</f>
        <v/>
      </c>
      <c r="I45" s="266">
        <f>IF(D45="休日","",IF(F45&gt;マスタ!$C$2,IF(E45&lt;マスタ!$C$2,マスタ!$C$2-E45-(マスタ!$C$4-マスタ!$C$3),""),IF(E45&lt;マスタ!$C$2,F45-E45-G45,"")))</f>
        <v/>
      </c>
      <c r="J45" s="267">
        <f>IF(D45="休日","",IF(K45="",H45-I45,IF(H45=K45,"",H45-I45-K45)))</f>
        <v/>
      </c>
      <c r="K45" s="267">
        <f>IF(D45="休日","",IF(OR(E45="",F45=""),"",IF(F45&gt;$X$13,IF(F45&gt;$Z$13,$Z$13-$X$13,F45-$X$13),"")))</f>
        <v/>
      </c>
      <c r="L45" s="265">
        <f>IF(D45="休日",H45,"")</f>
        <v/>
      </c>
      <c r="M45" s="173" t="n"/>
      <c r="N45" s="268" t="n"/>
      <c r="O45" s="268" t="n"/>
      <c r="P45" s="268" t="n"/>
      <c r="Q45" s="268" t="n"/>
      <c r="R45" s="268" t="n"/>
      <c r="S45" s="268" t="n"/>
      <c r="T45" s="269" t="n"/>
      <c r="U45" s="48" t="n"/>
      <c r="W45" s="72" t="n"/>
      <c r="X45" s="72" t="n"/>
      <c r="Y45" s="72" t="n"/>
      <c r="Z45" s="72" t="n"/>
    </row>
    <row r="46" ht="21" customHeight="1" s="235">
      <c r="A46" s="139" t="n"/>
      <c r="B46" s="259">
        <f>IF(B45="","",IF(DAY(B45+1) &lt; 5,"",B45+1))</f>
        <v/>
      </c>
      <c r="C46" s="260">
        <f>B46</f>
        <v/>
      </c>
      <c r="D46" s="138">
        <f>IF(U46="稼働","稼働",IF(OR(WEEKDAY(B46)=1,WEEKDAY(B46)=7,C46="日",U46="祝日",U46="特休",U46="代休",U46="休み"),"休日",IF(C46="","","稼働")))</f>
        <v/>
      </c>
      <c r="E46" s="262" t="n">
        <v>0.375</v>
      </c>
      <c r="F46" s="263" t="n">
        <v>0.7291666666666666</v>
      </c>
      <c r="G46" s="266">
        <f>IF(AND(E46&lt;&gt;"",F46&lt;&gt;""),IF((F46-E46-マスタ!$B$7)&gt;マスタ!$C$7,マスタ!$B$7,IF((F46-E46-マスタ!$B$6)&gt;マスタ!$C$6,マスタ!$B$6,マスタ!$B$5)),"")</f>
        <v/>
      </c>
      <c r="H46" s="265">
        <f>IF(G46="","",F46-E46-G46)</f>
        <v/>
      </c>
      <c r="I46" s="266">
        <f>IF(D46="休日","",IF(F46&gt;マスタ!$C$2,IF(E46&lt;マスタ!$C$2,マスタ!$C$2-E46-(マスタ!$C$4-マスタ!$C$3),""),IF(E46&lt;マスタ!$C$2,F46-E46-G46,"")))</f>
        <v/>
      </c>
      <c r="J46" s="267">
        <f>IF(D46="休日","",IF(K46="",H46-I46,IF(H46=K46,"",H46-I46-K46)))</f>
        <v/>
      </c>
      <c r="K46" s="267">
        <f>IF(D46="休日","",IF(OR(E46="",F46=""),"",IF(F46&gt;$X$13,IF(F46&gt;$Z$13,$Z$13-$X$13,F46-$X$13),"")))</f>
        <v/>
      </c>
      <c r="L46" s="265">
        <f>IF(D46="休日",H46,"")</f>
        <v/>
      </c>
      <c r="M46" s="173" t="n"/>
      <c r="N46" s="268" t="n"/>
      <c r="O46" s="268" t="n"/>
      <c r="P46" s="268" t="n"/>
      <c r="Q46" s="268" t="n"/>
      <c r="R46" s="268" t="n"/>
      <c r="S46" s="268" t="n"/>
      <c r="T46" s="269" t="n"/>
      <c r="U46" s="48" t="n"/>
      <c r="W46" s="72" t="n"/>
      <c r="X46" s="72" t="n"/>
      <c r="Y46" s="72" t="n"/>
      <c r="Z46" s="72" t="n"/>
    </row>
    <row r="47" ht="19.95" customHeight="1" s="235">
      <c r="A47" s="140" t="n"/>
      <c r="B47" s="271">
        <f>IF(B46="","",IF(DAY(B46+1) &lt; 5,"",B46+1))</f>
        <v/>
      </c>
      <c r="C47" s="272">
        <f>B47</f>
        <v/>
      </c>
      <c r="D47" s="143">
        <f>IF(U47="稼働","稼働",IF(OR(WEEKDAY(B47)=1,WEEKDAY(B47)=7,C47="日",U47="祝日",U47="特休",U47="代休",U47="休み"),"休日",IF(C47="","","稼働")))</f>
        <v/>
      </c>
      <c r="E47" s="314" t="n">
        <v>0.375</v>
      </c>
      <c r="F47" s="315" t="n">
        <v>0.7291666666666666</v>
      </c>
      <c r="G47" s="274">
        <f>IF(AND(E47&lt;&gt;"",F47&lt;&gt;""),IF((F47-E47-マスタ!$B$7)&gt;マスタ!$C$7,マスタ!$B$7,IF((F47-E47-マスタ!$B$6)&gt;マスタ!$C$6,マスタ!$B$6,マスタ!$B$5)),"")</f>
        <v/>
      </c>
      <c r="H47" s="275">
        <f>IF(G47="","",F47-E47-G47)</f>
        <v/>
      </c>
      <c r="I47" s="274">
        <f>IF(D47="休日","",IF(F47&gt;マスタ!$C$2,IF(E47&lt;マスタ!$C$2,マスタ!$C$2-E47-(マスタ!$C$4-マスタ!$C$3),""),IF(E47&lt;マスタ!$C$2,F47-E47-G47,"")))</f>
        <v/>
      </c>
      <c r="J47" s="276">
        <f>IF(D47="休日","",IF(K47="",H47-I47,IF(H47=K47,"",H47-I47-K47)))</f>
        <v/>
      </c>
      <c r="K47" s="276">
        <f>IF(D47="休日","",IF(OR(E47="",F47=""),"",IF(F47&gt;$X$13,IF(F47&gt;$Z$13,$Z$13-$X$13,F47-$X$13),"")))</f>
        <v/>
      </c>
      <c r="L47" s="275">
        <f>IF(D47="休日",H47,"")</f>
        <v/>
      </c>
      <c r="M47" s="176" t="n"/>
      <c r="N47" s="277" t="n"/>
      <c r="O47" s="277" t="n"/>
      <c r="P47" s="277" t="n"/>
      <c r="Q47" s="277" t="n"/>
      <c r="R47" s="277" t="n"/>
      <c r="S47" s="277" t="n"/>
      <c r="T47" s="278" t="n"/>
      <c r="U47" s="48" t="n"/>
      <c r="W47" s="72" t="n"/>
      <c r="X47" s="72" t="n"/>
      <c r="Y47" s="72" t="n"/>
      <c r="Z47" s="72" t="n"/>
    </row>
    <row r="48" ht="19.95" customHeight="1" s="235">
      <c r="A48" s="179" t="inlineStr">
        <is>
          <t>合計</t>
        </is>
      </c>
      <c r="B48" s="244" t="n"/>
      <c r="C48" s="244" t="n"/>
      <c r="D48" s="244" t="n"/>
      <c r="E48" s="244" t="n"/>
      <c r="F48" s="245" t="n"/>
      <c r="G48" s="279">
        <f>SUM(G17:G47)</f>
        <v/>
      </c>
      <c r="H48" s="280">
        <f>SUM(H17:H47)</f>
        <v/>
      </c>
      <c r="I48" s="281">
        <f>SUM(I17:I47)</f>
        <v/>
      </c>
      <c r="J48" s="282">
        <f>SUM(J17:J47)</f>
        <v/>
      </c>
      <c r="K48" s="282">
        <f>SUM(K17:K47)</f>
        <v/>
      </c>
      <c r="L48" s="283">
        <f>SUM(L17:L47)</f>
        <v/>
      </c>
      <c r="M48" s="211" t="inlineStr">
        <is>
          <t>月間作業時間
（深夜休日含む）</t>
        </is>
      </c>
      <c r="N48" s="284" t="n"/>
      <c r="O48" s="203" t="inlineStr">
        <is>
          <t>深夜</t>
        </is>
      </c>
      <c r="P48" s="255" t="n"/>
      <c r="Q48" s="285" t="n"/>
      <c r="R48" s="203" t="inlineStr">
        <is>
          <t>休日</t>
        </is>
      </c>
      <c r="S48" s="255" t="n"/>
      <c r="T48" s="285" t="n"/>
      <c r="U48" s="48" t="n"/>
      <c r="W48" s="72" t="n"/>
      <c r="X48" s="72" t="n"/>
      <c r="Y48" s="72" t="n"/>
      <c r="Z48" s="72" t="n"/>
    </row>
    <row r="49" ht="19.95" customHeight="1" s="235">
      <c r="A49" s="161" t="n"/>
      <c r="B49" s="162" t="n"/>
      <c r="C49" s="162" t="n"/>
      <c r="D49" s="162" t="n"/>
      <c r="E49" s="162" t="n"/>
      <c r="F49" s="162" t="n"/>
      <c r="G49" s="162" t="n"/>
      <c r="H49" s="162" t="n"/>
      <c r="I49" s="286" t="n"/>
      <c r="J49" s="286" t="n"/>
      <c r="K49" s="286" t="n"/>
      <c r="L49" s="287" t="n"/>
      <c r="M49" s="288" t="n"/>
      <c r="N49" s="289" t="n"/>
      <c r="O49" s="169" t="inlineStr">
        <is>
          <t>回数</t>
        </is>
      </c>
      <c r="P49" s="206" t="inlineStr">
        <is>
          <t>時間</t>
        </is>
      </c>
      <c r="Q49" s="290" t="n"/>
      <c r="R49" s="169" t="inlineStr">
        <is>
          <t>回数</t>
        </is>
      </c>
      <c r="S49" s="206" t="inlineStr">
        <is>
          <t>時間</t>
        </is>
      </c>
      <c r="T49" s="290" t="n"/>
      <c r="U49" s="48" t="n"/>
      <c r="W49" s="72" t="n"/>
      <c r="X49" s="72" t="n"/>
      <c r="Y49" s="72" t="n"/>
      <c r="Z49" s="72" t="n"/>
    </row>
    <row r="50" ht="30" customHeight="1" s="235">
      <c r="A50" s="165" t="n"/>
      <c r="B50" s="166" t="n"/>
      <c r="C50" s="166" t="n"/>
      <c r="D50" s="166" t="n"/>
      <c r="E50" s="166" t="n"/>
      <c r="F50" s="166" t="n"/>
      <c r="G50" s="166" t="n"/>
      <c r="H50" s="166" t="n"/>
      <c r="I50" s="291" t="n"/>
      <c r="J50" s="291" t="n"/>
      <c r="K50" s="291" t="n"/>
      <c r="L50" s="292" t="n"/>
      <c r="M50" s="293">
        <f>SUM(I17:L47)</f>
        <v/>
      </c>
      <c r="N50" s="294" t="n"/>
      <c r="O50" s="109">
        <f>COUNTIF(K17:K47,"&lt;&gt;" &amp; "*")</f>
        <v/>
      </c>
      <c r="P50" s="295">
        <f>SUM(K17:K47)</f>
        <v/>
      </c>
      <c r="Q50" s="296" t="n"/>
      <c r="R50" s="109">
        <f>COUNTIF(L17:L47,"&lt;&gt;" &amp; "*")</f>
        <v/>
      </c>
      <c r="S50" s="295">
        <f>SUM(L17:L47)</f>
        <v/>
      </c>
      <c r="T50" s="296" t="n"/>
      <c r="U50" s="48" t="n"/>
      <c r="W50" s="72" t="n"/>
      <c r="X50" s="72" t="n"/>
      <c r="Y50" s="72" t="n"/>
      <c r="Z50" s="72" t="n"/>
    </row>
    <row r="51" ht="22.5" customHeight="1" s="235">
      <c r="A51" s="92" t="inlineStr">
        <is>
          <t xml:space="preserve"> 【備　考】</t>
        </is>
      </c>
      <c r="B51" s="93" t="n"/>
      <c r="C51" s="94" t="n"/>
      <c r="D51" s="95" t="n"/>
      <c r="E51" s="95" t="n"/>
      <c r="F51" s="95" t="n"/>
      <c r="G51" s="96" t="n"/>
      <c r="H51" s="297" t="n"/>
      <c r="I51" s="297" t="n"/>
      <c r="J51" s="297" t="n"/>
      <c r="K51" s="297" t="n"/>
      <c r="L51" s="297" t="n"/>
      <c r="M51" s="297" t="n"/>
      <c r="N51" s="98" t="n"/>
      <c r="O51" s="98" t="n"/>
      <c r="P51" s="98" t="n"/>
      <c r="Q51" s="98" t="n"/>
      <c r="R51" s="98" t="n"/>
      <c r="S51" s="98" t="n"/>
      <c r="T51" s="99" t="n"/>
      <c r="U51" s="16" t="n"/>
    </row>
    <row r="52" ht="22.5" customHeight="1" s="235">
      <c r="A52" s="100" t="n"/>
      <c r="B52" s="101" t="n"/>
      <c r="C52" s="101" t="n"/>
      <c r="D52" s="102" t="n"/>
      <c r="E52" s="103" t="n"/>
      <c r="F52" s="102" t="n"/>
      <c r="G52" s="298" t="n"/>
      <c r="H52" s="299" t="n"/>
      <c r="I52" s="299" t="n"/>
      <c r="J52" s="299" t="n"/>
      <c r="K52" s="299" t="n"/>
      <c r="L52" s="299" t="n"/>
      <c r="M52" s="300" t="n"/>
      <c r="N52" s="107" t="n"/>
      <c r="O52" s="107" t="n"/>
      <c r="P52" s="107" t="n"/>
      <c r="Q52" s="107" t="n"/>
      <c r="R52" s="107" t="n"/>
      <c r="S52" s="107" t="n"/>
      <c r="T52" s="108" t="n"/>
      <c r="U52" s="16" t="n"/>
    </row>
    <row r="53" ht="15" customFormat="1" customHeight="1" s="81"/>
    <row r="54" ht="19.95" customFormat="1" customHeight="1" s="81"/>
    <row r="55" ht="19.95" customFormat="1" customHeight="1" s="81">
      <c r="N55" s="81" t="inlineStr">
        <is>
          <t>上記作業について確認しました。</t>
        </is>
      </c>
    </row>
    <row r="56" ht="19.95" customFormat="1" customHeight="1" s="81">
      <c r="N56" s="301" t="inlineStr">
        <is>
          <t>検収印</t>
        </is>
      </c>
      <c r="O56" s="244" t="n"/>
      <c r="P56" s="244" t="n"/>
      <c r="Q56" s="244" t="n"/>
      <c r="R56" s="244" t="n"/>
      <c r="S56" s="302" t="n"/>
    </row>
    <row r="57" ht="19.95" customFormat="1" customHeight="1" s="81">
      <c r="N57" s="303" t="n"/>
      <c r="O57" s="304" t="n"/>
      <c r="P57" s="304" t="n"/>
      <c r="Q57" s="304" t="n"/>
      <c r="R57" s="304" t="n"/>
      <c r="S57" s="305" t="n"/>
    </row>
    <row r="58" ht="19.95" customFormat="1" customHeight="1" s="81">
      <c r="N58" s="306" t="n"/>
      <c r="S58" s="307" t="n"/>
    </row>
    <row r="59" ht="19.95" customFormat="1" customHeight="1" s="81">
      <c r="N59" s="306" t="n"/>
      <c r="S59" s="307" t="n"/>
    </row>
    <row r="60" ht="19.95" customFormat="1" customHeight="1" s="81">
      <c r="N60" s="306" t="n"/>
      <c r="S60" s="307" t="n"/>
    </row>
    <row r="61" ht="19.95" customFormat="1" customHeight="1" s="81">
      <c r="N61" s="306" t="n"/>
      <c r="S61" s="307" t="n"/>
    </row>
    <row r="62" ht="15" customFormat="1" customHeight="1" s="81">
      <c r="N62" s="308" t="n"/>
      <c r="O62" s="309" t="n"/>
      <c r="P62" s="309" t="n"/>
      <c r="Q62" s="309" t="n"/>
      <c r="R62" s="309" t="n"/>
      <c r="S62" s="310" t="n"/>
      <c r="U62" s="193" t="n"/>
      <c r="V62" s="193" t="n"/>
      <c r="W62" s="193" t="n"/>
    </row>
    <row r="63">
      <c r="A63" s="88" t="inlineStr">
        <is>
          <t>4 / 4</t>
        </is>
      </c>
      <c r="B63" s="5" t="n"/>
      <c r="C63" s="5" t="n"/>
      <c r="D63" s="5" t="n"/>
      <c r="E63" s="5" t="n"/>
      <c r="F63" s="5" t="n"/>
      <c r="G63" s="5" t="n"/>
      <c r="K63" s="81" t="n"/>
      <c r="L63" s="81" t="n"/>
      <c r="M63" s="81" t="n"/>
      <c r="N63" s="81" t="n"/>
      <c r="O63" s="81" t="n"/>
      <c r="P63" s="193" t="n"/>
      <c r="Q63" s="193" t="n"/>
      <c r="R63" s="193" t="n"/>
      <c r="S63" s="193" t="n"/>
      <c r="T63" s="193" t="n"/>
    </row>
    <row r="65">
      <c r="V65" s="36" t="n"/>
      <c r="W65" s="36" t="n"/>
      <c r="X65" s="36" t="n"/>
      <c r="Y65" s="36" t="n"/>
      <c r="Z65" s="36" t="n"/>
    </row>
    <row r="66">
      <c r="H66" s="37" t="n"/>
      <c r="I66" s="37" t="n"/>
      <c r="J66" s="37" t="n"/>
      <c r="K66" s="37" t="n"/>
      <c r="L66" s="37" t="n"/>
      <c r="M66" s="37" t="n"/>
      <c r="V66" s="36" t="n"/>
      <c r="W66" s="36" t="n"/>
      <c r="X66" s="36" t="n"/>
      <c r="Y66" s="36" t="n"/>
      <c r="Z66" s="36" t="n"/>
    </row>
    <row r="67">
      <c r="H67" s="37" t="n"/>
      <c r="I67" s="37" t="n"/>
      <c r="J67" s="37" t="n"/>
      <c r="K67" s="37" t="n"/>
      <c r="L67" s="37" t="n"/>
      <c r="M67" s="37" t="n"/>
      <c r="V67" s="36" t="n"/>
      <c r="W67" s="36" t="n"/>
      <c r="X67" s="36" t="n"/>
      <c r="Y67" s="36" t="n"/>
      <c r="Z67" s="36" t="n"/>
    </row>
    <row r="68">
      <c r="V68" s="36" t="n"/>
      <c r="W68" s="36" t="n"/>
      <c r="X68" s="36" t="n"/>
      <c r="Y68" s="36" t="n"/>
      <c r="Z68" s="36" t="n"/>
    </row>
  </sheetData>
  <mergeCells count="46">
    <mergeCell ref="M43:T43"/>
    <mergeCell ref="M34:T34"/>
    <mergeCell ref="N57:S62"/>
    <mergeCell ref="M44:T44"/>
    <mergeCell ref="P50:Q50"/>
    <mergeCell ref="D14:G14"/>
    <mergeCell ref="M39:T39"/>
    <mergeCell ref="M35:T35"/>
    <mergeCell ref="M20:T20"/>
    <mergeCell ref="P49:Q49"/>
    <mergeCell ref="L5:M5"/>
    <mergeCell ref="O48:Q48"/>
    <mergeCell ref="M22:T22"/>
    <mergeCell ref="M40:T40"/>
    <mergeCell ref="M31:T31"/>
    <mergeCell ref="S49:T49"/>
    <mergeCell ref="M25:T25"/>
    <mergeCell ref="M16:T16"/>
    <mergeCell ref="M30:T30"/>
    <mergeCell ref="M21:T21"/>
    <mergeCell ref="M28:T28"/>
    <mergeCell ref="M37:T37"/>
    <mergeCell ref="R48:T48"/>
    <mergeCell ref="M27:T27"/>
    <mergeCell ref="M33:T33"/>
    <mergeCell ref="A48:F48"/>
    <mergeCell ref="M46:T46"/>
    <mergeCell ref="M42:T42"/>
    <mergeCell ref="M36:T36"/>
    <mergeCell ref="M18:T18"/>
    <mergeCell ref="M45:T45"/>
    <mergeCell ref="M26:T26"/>
    <mergeCell ref="M41:T41"/>
    <mergeCell ref="M48:N49"/>
    <mergeCell ref="M17:T17"/>
    <mergeCell ref="A4:T4"/>
    <mergeCell ref="M24:T24"/>
    <mergeCell ref="M47:T47"/>
    <mergeCell ref="M38:T38"/>
    <mergeCell ref="M29:T29"/>
    <mergeCell ref="M23:T23"/>
    <mergeCell ref="M32:T32"/>
    <mergeCell ref="M19:T19"/>
    <mergeCell ref="M50:N50"/>
    <mergeCell ref="N56:S56"/>
    <mergeCell ref="S50:T50"/>
  </mergeCells>
  <conditionalFormatting sqref="B17:E47">
    <cfRule type="expression" priority="8" dxfId="5" stopIfTrue="1">
      <formula>OR($D17="休日")</formula>
    </cfRule>
  </conditionalFormatting>
  <conditionalFormatting sqref="C17:D47">
    <cfRule type="expression" priority="11" dxfId="8" stopIfTrue="1">
      <formula>OR($D17="休日")</formula>
    </cfRule>
  </conditionalFormatting>
  <conditionalFormatting sqref="D17:D47">
    <cfRule type="cellIs" priority="12" operator="equal" dxfId="0" stopIfTrue="1">
      <formula>"稼働"</formula>
    </cfRule>
  </conditionalFormatting>
  <conditionalFormatting sqref="F17:F47">
    <cfRule type="expression" priority="6" dxfId="5">
      <formula>OR($D17="休日")</formula>
    </cfRule>
  </conditionalFormatting>
  <conditionalFormatting sqref="G17:M47">
    <cfRule type="expression" priority="4" dxfId="5" stopIfTrue="1">
      <formula>OR($D17="休日")</formula>
    </cfRule>
  </conditionalFormatting>
  <conditionalFormatting sqref="I48:L50">
    <cfRule type="expression" priority="1" dxfId="2" stopIfTrue="1">
      <formula>OR($D48="休日")</formula>
    </cfRule>
  </conditionalFormatting>
  <conditionalFormatting sqref="M48 M50 O48 O49:P50 R48 R49:S50">
    <cfRule type="expression" priority="5" dxfId="2" stopIfTrue="1">
      <formula>OR($D48="休日")</formula>
    </cfRule>
  </conditionalFormatting>
  <pageMargins left="0.7874015748031497" right="0.7874015748031497" top="0.5905511811023623" bottom="0.5905511811023623" header="0.5118110236220472" footer="0.5118110236220472"/>
  <pageSetup orientation="portrait" paperSize="9" scale="60"/>
  <headerFooter alignWithMargins="0">
    <oddHeader/>
    <oddFooter>&amp;R④-A_実績時間報告書　個人別明細(氏名)_深夜休日含む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V49"/>
  <sheetViews>
    <sheetView zoomScaleNormal="100" workbookViewId="0">
      <selection activeCell="G20" sqref="G20"/>
    </sheetView>
  </sheetViews>
  <sheetFormatPr baseColWidth="8" defaultColWidth="8.77734375" defaultRowHeight="13.2"/>
  <cols>
    <col width="4.33203125" customWidth="1" style="3" min="1" max="1"/>
    <col width="4" customWidth="1" style="3" min="2" max="2"/>
    <col width="4.109375" customWidth="1" style="3" min="3" max="3"/>
    <col width="8" customWidth="1" style="3" min="4" max="4"/>
    <col width="8.109375" customWidth="1" style="3" min="5" max="6"/>
    <col width="9.109375" customWidth="1" style="3" min="7" max="7"/>
    <col width="9" customWidth="1" style="5" min="8" max="8"/>
    <col width="10" customWidth="1" style="5" min="9" max="9"/>
    <col width="7.109375" customWidth="1" style="3" min="10" max="16"/>
    <col width="5.109375" bestFit="1" customWidth="1" style="3" min="17" max="17"/>
    <col width="9.109375" bestFit="1" customWidth="1" style="3" min="18" max="22"/>
    <col width="9" customWidth="1" style="3" min="23" max="255"/>
    <col width="4.33203125" customWidth="1" style="3" min="256" max="256"/>
    <col width="4" customWidth="1" style="3" min="257" max="257"/>
    <col width="4.109375" customWidth="1" style="3" min="258" max="258"/>
    <col width="8" customWidth="1" style="3" min="259" max="259"/>
    <col width="8.109375" customWidth="1" style="3" min="260" max="261"/>
    <col width="9.109375" customWidth="1" style="3" min="262" max="262"/>
    <col width="9" customWidth="1" style="3" min="263" max="263"/>
    <col width="6.44140625" customWidth="1" style="3" min="264" max="264"/>
    <col width="26.109375" customWidth="1" style="3" min="265" max="265"/>
    <col width="7.109375" customWidth="1" style="3" min="266" max="266"/>
    <col width="11.109375" customWidth="1" style="3" min="267" max="267"/>
    <col width="5.109375" bestFit="1" customWidth="1" style="3" min="268" max="268"/>
    <col width="9" customWidth="1" style="3" min="269" max="272"/>
    <col width="7.44140625" bestFit="1" customWidth="1" style="3" min="273" max="273"/>
    <col width="9.109375" bestFit="1" customWidth="1" style="3" min="274" max="278"/>
    <col width="9" customWidth="1" style="3" min="279" max="511"/>
    <col width="4.33203125" customWidth="1" style="3" min="512" max="512"/>
    <col width="4" customWidth="1" style="3" min="513" max="513"/>
    <col width="4.109375" customWidth="1" style="3" min="514" max="514"/>
    <col width="8" customWidth="1" style="3" min="515" max="515"/>
    <col width="8.109375" customWidth="1" style="3" min="516" max="517"/>
    <col width="9.109375" customWidth="1" style="3" min="518" max="518"/>
    <col width="9" customWidth="1" style="3" min="519" max="519"/>
    <col width="6.44140625" customWidth="1" style="3" min="520" max="520"/>
    <col width="26.109375" customWidth="1" style="3" min="521" max="521"/>
    <col width="7.109375" customWidth="1" style="3" min="522" max="522"/>
    <col width="11.109375" customWidth="1" style="3" min="523" max="523"/>
    <col width="5.109375" bestFit="1" customWidth="1" style="3" min="524" max="524"/>
    <col width="9" customWidth="1" style="3" min="525" max="528"/>
    <col width="7.44140625" bestFit="1" customWidth="1" style="3" min="529" max="529"/>
    <col width="9.109375" bestFit="1" customWidth="1" style="3" min="530" max="534"/>
    <col width="9" customWidth="1" style="3" min="535" max="767"/>
    <col width="4.33203125" customWidth="1" style="3" min="768" max="768"/>
    <col width="4" customWidth="1" style="3" min="769" max="769"/>
    <col width="4.109375" customWidth="1" style="3" min="770" max="770"/>
    <col width="8" customWidth="1" style="3" min="771" max="771"/>
    <col width="8.109375" customWidth="1" style="3" min="772" max="773"/>
    <col width="9.109375" customWidth="1" style="3" min="774" max="774"/>
    <col width="9" customWidth="1" style="3" min="775" max="775"/>
    <col width="6.44140625" customWidth="1" style="3" min="776" max="776"/>
    <col width="26.109375" customWidth="1" style="3" min="777" max="777"/>
    <col width="7.109375" customWidth="1" style="3" min="778" max="778"/>
    <col width="11.109375" customWidth="1" style="3" min="779" max="779"/>
    <col width="5.109375" bestFit="1" customWidth="1" style="3" min="780" max="780"/>
    <col width="9" customWidth="1" style="3" min="781" max="784"/>
    <col width="7.44140625" bestFit="1" customWidth="1" style="3" min="785" max="785"/>
    <col width="9.109375" bestFit="1" customWidth="1" style="3" min="786" max="790"/>
    <col width="9" customWidth="1" style="3" min="791" max="1023"/>
    <col width="4.33203125" customWidth="1" style="3" min="1024" max="1024"/>
    <col width="4" customWidth="1" style="3" min="1025" max="1025"/>
    <col width="4.109375" customWidth="1" style="3" min="1026" max="1026"/>
    <col width="8" customWidth="1" style="3" min="1027" max="1027"/>
    <col width="8.109375" customWidth="1" style="3" min="1028" max="1029"/>
    <col width="9.109375" customWidth="1" style="3" min="1030" max="1030"/>
    <col width="9" customWidth="1" style="3" min="1031" max="1031"/>
    <col width="6.44140625" customWidth="1" style="3" min="1032" max="1032"/>
    <col width="26.109375" customWidth="1" style="3" min="1033" max="1033"/>
    <col width="7.109375" customWidth="1" style="3" min="1034" max="1034"/>
    <col width="11.109375" customWidth="1" style="3" min="1035" max="1035"/>
    <col width="5.109375" bestFit="1" customWidth="1" style="3" min="1036" max="1036"/>
    <col width="9" customWidth="1" style="3" min="1037" max="1040"/>
    <col width="7.44140625" bestFit="1" customWidth="1" style="3" min="1041" max="1041"/>
    <col width="9.109375" bestFit="1" customWidth="1" style="3" min="1042" max="1046"/>
    <col width="9" customWidth="1" style="3" min="1047" max="1279"/>
    <col width="4.33203125" customWidth="1" style="3" min="1280" max="1280"/>
    <col width="4" customWidth="1" style="3" min="1281" max="1281"/>
    <col width="4.109375" customWidth="1" style="3" min="1282" max="1282"/>
    <col width="8" customWidth="1" style="3" min="1283" max="1283"/>
    <col width="8.109375" customWidth="1" style="3" min="1284" max="1285"/>
    <col width="9.109375" customWidth="1" style="3" min="1286" max="1286"/>
    <col width="9" customWidth="1" style="3" min="1287" max="1287"/>
    <col width="6.44140625" customWidth="1" style="3" min="1288" max="1288"/>
    <col width="26.109375" customWidth="1" style="3" min="1289" max="1289"/>
    <col width="7.109375" customWidth="1" style="3" min="1290" max="1290"/>
    <col width="11.109375" customWidth="1" style="3" min="1291" max="1291"/>
    <col width="5.109375" bestFit="1" customWidth="1" style="3" min="1292" max="1292"/>
    <col width="9" customWidth="1" style="3" min="1293" max="1296"/>
    <col width="7.44140625" bestFit="1" customWidth="1" style="3" min="1297" max="1297"/>
    <col width="9.109375" bestFit="1" customWidth="1" style="3" min="1298" max="1302"/>
    <col width="9" customWidth="1" style="3" min="1303" max="1535"/>
    <col width="4.33203125" customWidth="1" style="3" min="1536" max="1536"/>
    <col width="4" customWidth="1" style="3" min="1537" max="1537"/>
    <col width="4.109375" customWidth="1" style="3" min="1538" max="1538"/>
    <col width="8" customWidth="1" style="3" min="1539" max="1539"/>
    <col width="8.109375" customWidth="1" style="3" min="1540" max="1541"/>
    <col width="9.109375" customWidth="1" style="3" min="1542" max="1542"/>
    <col width="9" customWidth="1" style="3" min="1543" max="1543"/>
    <col width="6.44140625" customWidth="1" style="3" min="1544" max="1544"/>
    <col width="26.109375" customWidth="1" style="3" min="1545" max="1545"/>
    <col width="7.109375" customWidth="1" style="3" min="1546" max="1546"/>
    <col width="11.109375" customWidth="1" style="3" min="1547" max="1547"/>
    <col width="5.109375" bestFit="1" customWidth="1" style="3" min="1548" max="1548"/>
    <col width="9" customWidth="1" style="3" min="1549" max="1552"/>
    <col width="7.44140625" bestFit="1" customWidth="1" style="3" min="1553" max="1553"/>
    <col width="9.109375" bestFit="1" customWidth="1" style="3" min="1554" max="1558"/>
    <col width="9" customWidth="1" style="3" min="1559" max="1791"/>
    <col width="4.33203125" customWidth="1" style="3" min="1792" max="1792"/>
    <col width="4" customWidth="1" style="3" min="1793" max="1793"/>
    <col width="4.109375" customWidth="1" style="3" min="1794" max="1794"/>
    <col width="8" customWidth="1" style="3" min="1795" max="1795"/>
    <col width="8.109375" customWidth="1" style="3" min="1796" max="1797"/>
    <col width="9.109375" customWidth="1" style="3" min="1798" max="1798"/>
    <col width="9" customWidth="1" style="3" min="1799" max="1799"/>
    <col width="6.44140625" customWidth="1" style="3" min="1800" max="1800"/>
    <col width="26.109375" customWidth="1" style="3" min="1801" max="1801"/>
    <col width="7.109375" customWidth="1" style="3" min="1802" max="1802"/>
    <col width="11.109375" customWidth="1" style="3" min="1803" max="1803"/>
    <col width="5.109375" bestFit="1" customWidth="1" style="3" min="1804" max="1804"/>
    <col width="9" customWidth="1" style="3" min="1805" max="1808"/>
    <col width="7.44140625" bestFit="1" customWidth="1" style="3" min="1809" max="1809"/>
    <col width="9.109375" bestFit="1" customWidth="1" style="3" min="1810" max="1814"/>
    <col width="9" customWidth="1" style="3" min="1815" max="2047"/>
    <col width="4.33203125" customWidth="1" style="3" min="2048" max="2048"/>
    <col width="4" customWidth="1" style="3" min="2049" max="2049"/>
    <col width="4.109375" customWidth="1" style="3" min="2050" max="2050"/>
    <col width="8" customWidth="1" style="3" min="2051" max="2051"/>
    <col width="8.109375" customWidth="1" style="3" min="2052" max="2053"/>
    <col width="9.109375" customWidth="1" style="3" min="2054" max="2054"/>
    <col width="9" customWidth="1" style="3" min="2055" max="2055"/>
    <col width="6.44140625" customWidth="1" style="3" min="2056" max="2056"/>
    <col width="26.109375" customWidth="1" style="3" min="2057" max="2057"/>
    <col width="7.109375" customWidth="1" style="3" min="2058" max="2058"/>
    <col width="11.109375" customWidth="1" style="3" min="2059" max="2059"/>
    <col width="5.109375" bestFit="1" customWidth="1" style="3" min="2060" max="2060"/>
    <col width="9" customWidth="1" style="3" min="2061" max="2064"/>
    <col width="7.44140625" bestFit="1" customWidth="1" style="3" min="2065" max="2065"/>
    <col width="9.109375" bestFit="1" customWidth="1" style="3" min="2066" max="2070"/>
    <col width="9" customWidth="1" style="3" min="2071" max="2303"/>
    <col width="4.33203125" customWidth="1" style="3" min="2304" max="2304"/>
    <col width="4" customWidth="1" style="3" min="2305" max="2305"/>
    <col width="4.109375" customWidth="1" style="3" min="2306" max="2306"/>
    <col width="8" customWidth="1" style="3" min="2307" max="2307"/>
    <col width="8.109375" customWidth="1" style="3" min="2308" max="2309"/>
    <col width="9.109375" customWidth="1" style="3" min="2310" max="2310"/>
    <col width="9" customWidth="1" style="3" min="2311" max="2311"/>
    <col width="6.44140625" customWidth="1" style="3" min="2312" max="2312"/>
    <col width="26.109375" customWidth="1" style="3" min="2313" max="2313"/>
    <col width="7.109375" customWidth="1" style="3" min="2314" max="2314"/>
    <col width="11.109375" customWidth="1" style="3" min="2315" max="2315"/>
    <col width="5.109375" bestFit="1" customWidth="1" style="3" min="2316" max="2316"/>
    <col width="9" customWidth="1" style="3" min="2317" max="2320"/>
    <col width="7.44140625" bestFit="1" customWidth="1" style="3" min="2321" max="2321"/>
    <col width="9.109375" bestFit="1" customWidth="1" style="3" min="2322" max="2326"/>
    <col width="9" customWidth="1" style="3" min="2327" max="2559"/>
    <col width="4.33203125" customWidth="1" style="3" min="2560" max="2560"/>
    <col width="4" customWidth="1" style="3" min="2561" max="2561"/>
    <col width="4.109375" customWidth="1" style="3" min="2562" max="2562"/>
    <col width="8" customWidth="1" style="3" min="2563" max="2563"/>
    <col width="8.109375" customWidth="1" style="3" min="2564" max="2565"/>
    <col width="9.109375" customWidth="1" style="3" min="2566" max="2566"/>
    <col width="9" customWidth="1" style="3" min="2567" max="2567"/>
    <col width="6.44140625" customWidth="1" style="3" min="2568" max="2568"/>
    <col width="26.109375" customWidth="1" style="3" min="2569" max="2569"/>
    <col width="7.109375" customWidth="1" style="3" min="2570" max="2570"/>
    <col width="11.109375" customWidth="1" style="3" min="2571" max="2571"/>
    <col width="5.109375" bestFit="1" customWidth="1" style="3" min="2572" max="2572"/>
    <col width="9" customWidth="1" style="3" min="2573" max="2576"/>
    <col width="7.44140625" bestFit="1" customWidth="1" style="3" min="2577" max="2577"/>
    <col width="9.109375" bestFit="1" customWidth="1" style="3" min="2578" max="2582"/>
    <col width="9" customWidth="1" style="3" min="2583" max="2815"/>
    <col width="4.33203125" customWidth="1" style="3" min="2816" max="2816"/>
    <col width="4" customWidth="1" style="3" min="2817" max="2817"/>
    <col width="4.109375" customWidth="1" style="3" min="2818" max="2818"/>
    <col width="8" customWidth="1" style="3" min="2819" max="2819"/>
    <col width="8.109375" customWidth="1" style="3" min="2820" max="2821"/>
    <col width="9.109375" customWidth="1" style="3" min="2822" max="2822"/>
    <col width="9" customWidth="1" style="3" min="2823" max="2823"/>
    <col width="6.44140625" customWidth="1" style="3" min="2824" max="2824"/>
    <col width="26.109375" customWidth="1" style="3" min="2825" max="2825"/>
    <col width="7.109375" customWidth="1" style="3" min="2826" max="2826"/>
    <col width="11.109375" customWidth="1" style="3" min="2827" max="2827"/>
    <col width="5.109375" bestFit="1" customWidth="1" style="3" min="2828" max="2828"/>
    <col width="9" customWidth="1" style="3" min="2829" max="2832"/>
    <col width="7.44140625" bestFit="1" customWidth="1" style="3" min="2833" max="2833"/>
    <col width="9.109375" bestFit="1" customWidth="1" style="3" min="2834" max="2838"/>
    <col width="9" customWidth="1" style="3" min="2839" max="3071"/>
    <col width="4.33203125" customWidth="1" style="3" min="3072" max="3072"/>
    <col width="4" customWidth="1" style="3" min="3073" max="3073"/>
    <col width="4.109375" customWidth="1" style="3" min="3074" max="3074"/>
    <col width="8" customWidth="1" style="3" min="3075" max="3075"/>
    <col width="8.109375" customWidth="1" style="3" min="3076" max="3077"/>
    <col width="9.109375" customWidth="1" style="3" min="3078" max="3078"/>
    <col width="9" customWidth="1" style="3" min="3079" max="3079"/>
    <col width="6.44140625" customWidth="1" style="3" min="3080" max="3080"/>
    <col width="26.109375" customWidth="1" style="3" min="3081" max="3081"/>
    <col width="7.109375" customWidth="1" style="3" min="3082" max="3082"/>
    <col width="11.109375" customWidth="1" style="3" min="3083" max="3083"/>
    <col width="5.109375" bestFit="1" customWidth="1" style="3" min="3084" max="3084"/>
    <col width="9" customWidth="1" style="3" min="3085" max="3088"/>
    <col width="7.44140625" bestFit="1" customWidth="1" style="3" min="3089" max="3089"/>
    <col width="9.109375" bestFit="1" customWidth="1" style="3" min="3090" max="3094"/>
    <col width="9" customWidth="1" style="3" min="3095" max="3327"/>
    <col width="4.33203125" customWidth="1" style="3" min="3328" max="3328"/>
    <col width="4" customWidth="1" style="3" min="3329" max="3329"/>
    <col width="4.109375" customWidth="1" style="3" min="3330" max="3330"/>
    <col width="8" customWidth="1" style="3" min="3331" max="3331"/>
    <col width="8.109375" customWidth="1" style="3" min="3332" max="3333"/>
    <col width="9.109375" customWidth="1" style="3" min="3334" max="3334"/>
    <col width="9" customWidth="1" style="3" min="3335" max="3335"/>
    <col width="6.44140625" customWidth="1" style="3" min="3336" max="3336"/>
    <col width="26.109375" customWidth="1" style="3" min="3337" max="3337"/>
    <col width="7.109375" customWidth="1" style="3" min="3338" max="3338"/>
    <col width="11.109375" customWidth="1" style="3" min="3339" max="3339"/>
    <col width="5.109375" bestFit="1" customWidth="1" style="3" min="3340" max="3340"/>
    <col width="9" customWidth="1" style="3" min="3341" max="3344"/>
    <col width="7.44140625" bestFit="1" customWidth="1" style="3" min="3345" max="3345"/>
    <col width="9.109375" bestFit="1" customWidth="1" style="3" min="3346" max="3350"/>
    <col width="9" customWidth="1" style="3" min="3351" max="3583"/>
    <col width="4.33203125" customWidth="1" style="3" min="3584" max="3584"/>
    <col width="4" customWidth="1" style="3" min="3585" max="3585"/>
    <col width="4.109375" customWidth="1" style="3" min="3586" max="3586"/>
    <col width="8" customWidth="1" style="3" min="3587" max="3587"/>
    <col width="8.109375" customWidth="1" style="3" min="3588" max="3589"/>
    <col width="9.109375" customWidth="1" style="3" min="3590" max="3590"/>
    <col width="9" customWidth="1" style="3" min="3591" max="3591"/>
    <col width="6.44140625" customWidth="1" style="3" min="3592" max="3592"/>
    <col width="26.109375" customWidth="1" style="3" min="3593" max="3593"/>
    <col width="7.109375" customWidth="1" style="3" min="3594" max="3594"/>
    <col width="11.109375" customWidth="1" style="3" min="3595" max="3595"/>
    <col width="5.109375" bestFit="1" customWidth="1" style="3" min="3596" max="3596"/>
    <col width="9" customWidth="1" style="3" min="3597" max="3600"/>
    <col width="7.44140625" bestFit="1" customWidth="1" style="3" min="3601" max="3601"/>
    <col width="9.109375" bestFit="1" customWidth="1" style="3" min="3602" max="3606"/>
    <col width="9" customWidth="1" style="3" min="3607" max="3839"/>
    <col width="4.33203125" customWidth="1" style="3" min="3840" max="3840"/>
    <col width="4" customWidth="1" style="3" min="3841" max="3841"/>
    <col width="4.109375" customWidth="1" style="3" min="3842" max="3842"/>
    <col width="8" customWidth="1" style="3" min="3843" max="3843"/>
    <col width="8.109375" customWidth="1" style="3" min="3844" max="3845"/>
    <col width="9.109375" customWidth="1" style="3" min="3846" max="3846"/>
    <col width="9" customWidth="1" style="3" min="3847" max="3847"/>
    <col width="6.44140625" customWidth="1" style="3" min="3848" max="3848"/>
    <col width="26.109375" customWidth="1" style="3" min="3849" max="3849"/>
    <col width="7.109375" customWidth="1" style="3" min="3850" max="3850"/>
    <col width="11.109375" customWidth="1" style="3" min="3851" max="3851"/>
    <col width="5.109375" bestFit="1" customWidth="1" style="3" min="3852" max="3852"/>
    <col width="9" customWidth="1" style="3" min="3853" max="3856"/>
    <col width="7.44140625" bestFit="1" customWidth="1" style="3" min="3857" max="3857"/>
    <col width="9.109375" bestFit="1" customWidth="1" style="3" min="3858" max="3862"/>
    <col width="9" customWidth="1" style="3" min="3863" max="4095"/>
    <col width="4.33203125" customWidth="1" style="3" min="4096" max="4096"/>
    <col width="4" customWidth="1" style="3" min="4097" max="4097"/>
    <col width="4.109375" customWidth="1" style="3" min="4098" max="4098"/>
    <col width="8" customWidth="1" style="3" min="4099" max="4099"/>
    <col width="8.109375" customWidth="1" style="3" min="4100" max="4101"/>
    <col width="9.109375" customWidth="1" style="3" min="4102" max="4102"/>
    <col width="9" customWidth="1" style="3" min="4103" max="4103"/>
    <col width="6.44140625" customWidth="1" style="3" min="4104" max="4104"/>
    <col width="26.109375" customWidth="1" style="3" min="4105" max="4105"/>
    <col width="7.109375" customWidth="1" style="3" min="4106" max="4106"/>
    <col width="11.109375" customWidth="1" style="3" min="4107" max="4107"/>
    <col width="5.109375" bestFit="1" customWidth="1" style="3" min="4108" max="4108"/>
    <col width="9" customWidth="1" style="3" min="4109" max="4112"/>
    <col width="7.44140625" bestFit="1" customWidth="1" style="3" min="4113" max="4113"/>
    <col width="9.109375" bestFit="1" customWidth="1" style="3" min="4114" max="4118"/>
    <col width="9" customWidth="1" style="3" min="4119" max="4351"/>
    <col width="4.33203125" customWidth="1" style="3" min="4352" max="4352"/>
    <col width="4" customWidth="1" style="3" min="4353" max="4353"/>
    <col width="4.109375" customWidth="1" style="3" min="4354" max="4354"/>
    <col width="8" customWidth="1" style="3" min="4355" max="4355"/>
    <col width="8.109375" customWidth="1" style="3" min="4356" max="4357"/>
    <col width="9.109375" customWidth="1" style="3" min="4358" max="4358"/>
    <col width="9" customWidth="1" style="3" min="4359" max="4359"/>
    <col width="6.44140625" customWidth="1" style="3" min="4360" max="4360"/>
    <col width="26.109375" customWidth="1" style="3" min="4361" max="4361"/>
    <col width="7.109375" customWidth="1" style="3" min="4362" max="4362"/>
    <col width="11.109375" customWidth="1" style="3" min="4363" max="4363"/>
    <col width="5.109375" bestFit="1" customWidth="1" style="3" min="4364" max="4364"/>
    <col width="9" customWidth="1" style="3" min="4365" max="4368"/>
    <col width="7.44140625" bestFit="1" customWidth="1" style="3" min="4369" max="4369"/>
    <col width="9.109375" bestFit="1" customWidth="1" style="3" min="4370" max="4374"/>
    <col width="9" customWidth="1" style="3" min="4375" max="4607"/>
    <col width="4.33203125" customWidth="1" style="3" min="4608" max="4608"/>
    <col width="4" customWidth="1" style="3" min="4609" max="4609"/>
    <col width="4.109375" customWidth="1" style="3" min="4610" max="4610"/>
    <col width="8" customWidth="1" style="3" min="4611" max="4611"/>
    <col width="8.109375" customWidth="1" style="3" min="4612" max="4613"/>
    <col width="9.109375" customWidth="1" style="3" min="4614" max="4614"/>
    <col width="9" customWidth="1" style="3" min="4615" max="4615"/>
    <col width="6.44140625" customWidth="1" style="3" min="4616" max="4616"/>
    <col width="26.109375" customWidth="1" style="3" min="4617" max="4617"/>
    <col width="7.109375" customWidth="1" style="3" min="4618" max="4618"/>
    <col width="11.109375" customWidth="1" style="3" min="4619" max="4619"/>
    <col width="5.109375" bestFit="1" customWidth="1" style="3" min="4620" max="4620"/>
    <col width="9" customWidth="1" style="3" min="4621" max="4624"/>
    <col width="7.44140625" bestFit="1" customWidth="1" style="3" min="4625" max="4625"/>
    <col width="9.109375" bestFit="1" customWidth="1" style="3" min="4626" max="4630"/>
    <col width="9" customWidth="1" style="3" min="4631" max="4863"/>
    <col width="4.33203125" customWidth="1" style="3" min="4864" max="4864"/>
    <col width="4" customWidth="1" style="3" min="4865" max="4865"/>
    <col width="4.109375" customWidth="1" style="3" min="4866" max="4866"/>
    <col width="8" customWidth="1" style="3" min="4867" max="4867"/>
    <col width="8.109375" customWidth="1" style="3" min="4868" max="4869"/>
    <col width="9.109375" customWidth="1" style="3" min="4870" max="4870"/>
    <col width="9" customWidth="1" style="3" min="4871" max="4871"/>
    <col width="6.44140625" customWidth="1" style="3" min="4872" max="4872"/>
    <col width="26.109375" customWidth="1" style="3" min="4873" max="4873"/>
    <col width="7.109375" customWidth="1" style="3" min="4874" max="4874"/>
    <col width="11.109375" customWidth="1" style="3" min="4875" max="4875"/>
    <col width="5.109375" bestFit="1" customWidth="1" style="3" min="4876" max="4876"/>
    <col width="9" customWidth="1" style="3" min="4877" max="4880"/>
    <col width="7.44140625" bestFit="1" customWidth="1" style="3" min="4881" max="4881"/>
    <col width="9.109375" bestFit="1" customWidth="1" style="3" min="4882" max="4886"/>
    <col width="9" customWidth="1" style="3" min="4887" max="5119"/>
    <col width="4.33203125" customWidth="1" style="3" min="5120" max="5120"/>
    <col width="4" customWidth="1" style="3" min="5121" max="5121"/>
    <col width="4.109375" customWidth="1" style="3" min="5122" max="5122"/>
    <col width="8" customWidth="1" style="3" min="5123" max="5123"/>
    <col width="8.109375" customWidth="1" style="3" min="5124" max="5125"/>
    <col width="9.109375" customWidth="1" style="3" min="5126" max="5126"/>
    <col width="9" customWidth="1" style="3" min="5127" max="5127"/>
    <col width="6.44140625" customWidth="1" style="3" min="5128" max="5128"/>
    <col width="26.109375" customWidth="1" style="3" min="5129" max="5129"/>
    <col width="7.109375" customWidth="1" style="3" min="5130" max="5130"/>
    <col width="11.109375" customWidth="1" style="3" min="5131" max="5131"/>
    <col width="5.109375" bestFit="1" customWidth="1" style="3" min="5132" max="5132"/>
    <col width="9" customWidth="1" style="3" min="5133" max="5136"/>
    <col width="7.44140625" bestFit="1" customWidth="1" style="3" min="5137" max="5137"/>
    <col width="9.109375" bestFit="1" customWidth="1" style="3" min="5138" max="5142"/>
    <col width="9" customWidth="1" style="3" min="5143" max="5375"/>
    <col width="4.33203125" customWidth="1" style="3" min="5376" max="5376"/>
    <col width="4" customWidth="1" style="3" min="5377" max="5377"/>
    <col width="4.109375" customWidth="1" style="3" min="5378" max="5378"/>
    <col width="8" customWidth="1" style="3" min="5379" max="5379"/>
    <col width="8.109375" customWidth="1" style="3" min="5380" max="5381"/>
    <col width="9.109375" customWidth="1" style="3" min="5382" max="5382"/>
    <col width="9" customWidth="1" style="3" min="5383" max="5383"/>
    <col width="6.44140625" customWidth="1" style="3" min="5384" max="5384"/>
    <col width="26.109375" customWidth="1" style="3" min="5385" max="5385"/>
    <col width="7.109375" customWidth="1" style="3" min="5386" max="5386"/>
    <col width="11.109375" customWidth="1" style="3" min="5387" max="5387"/>
    <col width="5.109375" bestFit="1" customWidth="1" style="3" min="5388" max="5388"/>
    <col width="9" customWidth="1" style="3" min="5389" max="5392"/>
    <col width="7.44140625" bestFit="1" customWidth="1" style="3" min="5393" max="5393"/>
    <col width="9.109375" bestFit="1" customWidth="1" style="3" min="5394" max="5398"/>
    <col width="9" customWidth="1" style="3" min="5399" max="5631"/>
    <col width="4.33203125" customWidth="1" style="3" min="5632" max="5632"/>
    <col width="4" customWidth="1" style="3" min="5633" max="5633"/>
    <col width="4.109375" customWidth="1" style="3" min="5634" max="5634"/>
    <col width="8" customWidth="1" style="3" min="5635" max="5635"/>
    <col width="8.109375" customWidth="1" style="3" min="5636" max="5637"/>
    <col width="9.109375" customWidth="1" style="3" min="5638" max="5638"/>
    <col width="9" customWidth="1" style="3" min="5639" max="5639"/>
    <col width="6.44140625" customWidth="1" style="3" min="5640" max="5640"/>
    <col width="26.109375" customWidth="1" style="3" min="5641" max="5641"/>
    <col width="7.109375" customWidth="1" style="3" min="5642" max="5642"/>
    <col width="11.109375" customWidth="1" style="3" min="5643" max="5643"/>
    <col width="5.109375" bestFit="1" customWidth="1" style="3" min="5644" max="5644"/>
    <col width="9" customWidth="1" style="3" min="5645" max="5648"/>
    <col width="7.44140625" bestFit="1" customWidth="1" style="3" min="5649" max="5649"/>
    <col width="9.109375" bestFit="1" customWidth="1" style="3" min="5650" max="5654"/>
    <col width="9" customWidth="1" style="3" min="5655" max="5887"/>
    <col width="4.33203125" customWidth="1" style="3" min="5888" max="5888"/>
    <col width="4" customWidth="1" style="3" min="5889" max="5889"/>
    <col width="4.109375" customWidth="1" style="3" min="5890" max="5890"/>
    <col width="8" customWidth="1" style="3" min="5891" max="5891"/>
    <col width="8.109375" customWidth="1" style="3" min="5892" max="5893"/>
    <col width="9.109375" customWidth="1" style="3" min="5894" max="5894"/>
    <col width="9" customWidth="1" style="3" min="5895" max="5895"/>
    <col width="6.44140625" customWidth="1" style="3" min="5896" max="5896"/>
    <col width="26.109375" customWidth="1" style="3" min="5897" max="5897"/>
    <col width="7.109375" customWidth="1" style="3" min="5898" max="5898"/>
    <col width="11.109375" customWidth="1" style="3" min="5899" max="5899"/>
    <col width="5.109375" bestFit="1" customWidth="1" style="3" min="5900" max="5900"/>
    <col width="9" customWidth="1" style="3" min="5901" max="5904"/>
    <col width="7.44140625" bestFit="1" customWidth="1" style="3" min="5905" max="5905"/>
    <col width="9.109375" bestFit="1" customWidth="1" style="3" min="5906" max="5910"/>
    <col width="9" customWidth="1" style="3" min="5911" max="6143"/>
    <col width="4.33203125" customWidth="1" style="3" min="6144" max="6144"/>
    <col width="4" customWidth="1" style="3" min="6145" max="6145"/>
    <col width="4.109375" customWidth="1" style="3" min="6146" max="6146"/>
    <col width="8" customWidth="1" style="3" min="6147" max="6147"/>
    <col width="8.109375" customWidth="1" style="3" min="6148" max="6149"/>
    <col width="9.109375" customWidth="1" style="3" min="6150" max="6150"/>
    <col width="9" customWidth="1" style="3" min="6151" max="6151"/>
    <col width="6.44140625" customWidth="1" style="3" min="6152" max="6152"/>
    <col width="26.109375" customWidth="1" style="3" min="6153" max="6153"/>
    <col width="7.109375" customWidth="1" style="3" min="6154" max="6154"/>
    <col width="11.109375" customWidth="1" style="3" min="6155" max="6155"/>
    <col width="5.109375" bestFit="1" customWidth="1" style="3" min="6156" max="6156"/>
    <col width="9" customWidth="1" style="3" min="6157" max="6160"/>
    <col width="7.44140625" bestFit="1" customWidth="1" style="3" min="6161" max="6161"/>
    <col width="9.109375" bestFit="1" customWidth="1" style="3" min="6162" max="6166"/>
    <col width="9" customWidth="1" style="3" min="6167" max="6399"/>
    <col width="4.33203125" customWidth="1" style="3" min="6400" max="6400"/>
    <col width="4" customWidth="1" style="3" min="6401" max="6401"/>
    <col width="4.109375" customWidth="1" style="3" min="6402" max="6402"/>
    <col width="8" customWidth="1" style="3" min="6403" max="6403"/>
    <col width="8.109375" customWidth="1" style="3" min="6404" max="6405"/>
    <col width="9.109375" customWidth="1" style="3" min="6406" max="6406"/>
    <col width="9" customWidth="1" style="3" min="6407" max="6407"/>
    <col width="6.44140625" customWidth="1" style="3" min="6408" max="6408"/>
    <col width="26.109375" customWidth="1" style="3" min="6409" max="6409"/>
    <col width="7.109375" customWidth="1" style="3" min="6410" max="6410"/>
    <col width="11.109375" customWidth="1" style="3" min="6411" max="6411"/>
    <col width="5.109375" bestFit="1" customWidth="1" style="3" min="6412" max="6412"/>
    <col width="9" customWidth="1" style="3" min="6413" max="6416"/>
    <col width="7.44140625" bestFit="1" customWidth="1" style="3" min="6417" max="6417"/>
    <col width="9.109375" bestFit="1" customWidth="1" style="3" min="6418" max="6422"/>
    <col width="9" customWidth="1" style="3" min="6423" max="6655"/>
    <col width="4.33203125" customWidth="1" style="3" min="6656" max="6656"/>
    <col width="4" customWidth="1" style="3" min="6657" max="6657"/>
    <col width="4.109375" customWidth="1" style="3" min="6658" max="6658"/>
    <col width="8" customWidth="1" style="3" min="6659" max="6659"/>
    <col width="8.109375" customWidth="1" style="3" min="6660" max="6661"/>
    <col width="9.109375" customWidth="1" style="3" min="6662" max="6662"/>
    <col width="9" customWidth="1" style="3" min="6663" max="6663"/>
    <col width="6.44140625" customWidth="1" style="3" min="6664" max="6664"/>
    <col width="26.109375" customWidth="1" style="3" min="6665" max="6665"/>
    <col width="7.109375" customWidth="1" style="3" min="6666" max="6666"/>
    <col width="11.109375" customWidth="1" style="3" min="6667" max="6667"/>
    <col width="5.109375" bestFit="1" customWidth="1" style="3" min="6668" max="6668"/>
    <col width="9" customWidth="1" style="3" min="6669" max="6672"/>
    <col width="7.44140625" bestFit="1" customWidth="1" style="3" min="6673" max="6673"/>
    <col width="9.109375" bestFit="1" customWidth="1" style="3" min="6674" max="6678"/>
    <col width="9" customWidth="1" style="3" min="6679" max="6911"/>
    <col width="4.33203125" customWidth="1" style="3" min="6912" max="6912"/>
    <col width="4" customWidth="1" style="3" min="6913" max="6913"/>
    <col width="4.109375" customWidth="1" style="3" min="6914" max="6914"/>
    <col width="8" customWidth="1" style="3" min="6915" max="6915"/>
    <col width="8.109375" customWidth="1" style="3" min="6916" max="6917"/>
    <col width="9.109375" customWidth="1" style="3" min="6918" max="6918"/>
    <col width="9" customWidth="1" style="3" min="6919" max="6919"/>
    <col width="6.44140625" customWidth="1" style="3" min="6920" max="6920"/>
    <col width="26.109375" customWidth="1" style="3" min="6921" max="6921"/>
    <col width="7.109375" customWidth="1" style="3" min="6922" max="6922"/>
    <col width="11.109375" customWidth="1" style="3" min="6923" max="6923"/>
    <col width="5.109375" bestFit="1" customWidth="1" style="3" min="6924" max="6924"/>
    <col width="9" customWidth="1" style="3" min="6925" max="6928"/>
    <col width="7.44140625" bestFit="1" customWidth="1" style="3" min="6929" max="6929"/>
    <col width="9.109375" bestFit="1" customWidth="1" style="3" min="6930" max="6934"/>
    <col width="9" customWidth="1" style="3" min="6935" max="7167"/>
    <col width="4.33203125" customWidth="1" style="3" min="7168" max="7168"/>
    <col width="4" customWidth="1" style="3" min="7169" max="7169"/>
    <col width="4.109375" customWidth="1" style="3" min="7170" max="7170"/>
    <col width="8" customWidth="1" style="3" min="7171" max="7171"/>
    <col width="8.109375" customWidth="1" style="3" min="7172" max="7173"/>
    <col width="9.109375" customWidth="1" style="3" min="7174" max="7174"/>
    <col width="9" customWidth="1" style="3" min="7175" max="7175"/>
    <col width="6.44140625" customWidth="1" style="3" min="7176" max="7176"/>
    <col width="26.109375" customWidth="1" style="3" min="7177" max="7177"/>
    <col width="7.109375" customWidth="1" style="3" min="7178" max="7178"/>
    <col width="11.109375" customWidth="1" style="3" min="7179" max="7179"/>
    <col width="5.109375" bestFit="1" customWidth="1" style="3" min="7180" max="7180"/>
    <col width="9" customWidth="1" style="3" min="7181" max="7184"/>
    <col width="7.44140625" bestFit="1" customWidth="1" style="3" min="7185" max="7185"/>
    <col width="9.109375" bestFit="1" customWidth="1" style="3" min="7186" max="7190"/>
    <col width="9" customWidth="1" style="3" min="7191" max="7423"/>
    <col width="4.33203125" customWidth="1" style="3" min="7424" max="7424"/>
    <col width="4" customWidth="1" style="3" min="7425" max="7425"/>
    <col width="4.109375" customWidth="1" style="3" min="7426" max="7426"/>
    <col width="8" customWidth="1" style="3" min="7427" max="7427"/>
    <col width="8.109375" customWidth="1" style="3" min="7428" max="7429"/>
    <col width="9.109375" customWidth="1" style="3" min="7430" max="7430"/>
    <col width="9" customWidth="1" style="3" min="7431" max="7431"/>
    <col width="6.44140625" customWidth="1" style="3" min="7432" max="7432"/>
    <col width="26.109375" customWidth="1" style="3" min="7433" max="7433"/>
    <col width="7.109375" customWidth="1" style="3" min="7434" max="7434"/>
    <col width="11.109375" customWidth="1" style="3" min="7435" max="7435"/>
    <col width="5.109375" bestFit="1" customWidth="1" style="3" min="7436" max="7436"/>
    <col width="9" customWidth="1" style="3" min="7437" max="7440"/>
    <col width="7.44140625" bestFit="1" customWidth="1" style="3" min="7441" max="7441"/>
    <col width="9.109375" bestFit="1" customWidth="1" style="3" min="7442" max="7446"/>
    <col width="9" customWidth="1" style="3" min="7447" max="7679"/>
    <col width="4.33203125" customWidth="1" style="3" min="7680" max="7680"/>
    <col width="4" customWidth="1" style="3" min="7681" max="7681"/>
    <col width="4.109375" customWidth="1" style="3" min="7682" max="7682"/>
    <col width="8" customWidth="1" style="3" min="7683" max="7683"/>
    <col width="8.109375" customWidth="1" style="3" min="7684" max="7685"/>
    <col width="9.109375" customWidth="1" style="3" min="7686" max="7686"/>
    <col width="9" customWidth="1" style="3" min="7687" max="7687"/>
    <col width="6.44140625" customWidth="1" style="3" min="7688" max="7688"/>
    <col width="26.109375" customWidth="1" style="3" min="7689" max="7689"/>
    <col width="7.109375" customWidth="1" style="3" min="7690" max="7690"/>
    <col width="11.109375" customWidth="1" style="3" min="7691" max="7691"/>
    <col width="5.109375" bestFit="1" customWidth="1" style="3" min="7692" max="7692"/>
    <col width="9" customWidth="1" style="3" min="7693" max="7696"/>
    <col width="7.44140625" bestFit="1" customWidth="1" style="3" min="7697" max="7697"/>
    <col width="9.109375" bestFit="1" customWidth="1" style="3" min="7698" max="7702"/>
    <col width="9" customWidth="1" style="3" min="7703" max="7935"/>
    <col width="4.33203125" customWidth="1" style="3" min="7936" max="7936"/>
    <col width="4" customWidth="1" style="3" min="7937" max="7937"/>
    <col width="4.109375" customWidth="1" style="3" min="7938" max="7938"/>
    <col width="8" customWidth="1" style="3" min="7939" max="7939"/>
    <col width="8.109375" customWidth="1" style="3" min="7940" max="7941"/>
    <col width="9.109375" customWidth="1" style="3" min="7942" max="7942"/>
    <col width="9" customWidth="1" style="3" min="7943" max="7943"/>
    <col width="6.44140625" customWidth="1" style="3" min="7944" max="7944"/>
    <col width="26.109375" customWidth="1" style="3" min="7945" max="7945"/>
    <col width="7.109375" customWidth="1" style="3" min="7946" max="7946"/>
    <col width="11.109375" customWidth="1" style="3" min="7947" max="7947"/>
    <col width="5.109375" bestFit="1" customWidth="1" style="3" min="7948" max="7948"/>
    <col width="9" customWidth="1" style="3" min="7949" max="7952"/>
    <col width="7.44140625" bestFit="1" customWidth="1" style="3" min="7953" max="7953"/>
    <col width="9.109375" bestFit="1" customWidth="1" style="3" min="7954" max="7958"/>
    <col width="9" customWidth="1" style="3" min="7959" max="8191"/>
    <col width="4.33203125" customWidth="1" style="3" min="8192" max="8192"/>
    <col width="4" customWidth="1" style="3" min="8193" max="8193"/>
    <col width="4.109375" customWidth="1" style="3" min="8194" max="8194"/>
    <col width="8" customWidth="1" style="3" min="8195" max="8195"/>
    <col width="8.109375" customWidth="1" style="3" min="8196" max="8197"/>
    <col width="9.109375" customWidth="1" style="3" min="8198" max="8198"/>
    <col width="9" customWidth="1" style="3" min="8199" max="8199"/>
    <col width="6.44140625" customWidth="1" style="3" min="8200" max="8200"/>
    <col width="26.109375" customWidth="1" style="3" min="8201" max="8201"/>
    <col width="7.109375" customWidth="1" style="3" min="8202" max="8202"/>
    <col width="11.109375" customWidth="1" style="3" min="8203" max="8203"/>
    <col width="5.109375" bestFit="1" customWidth="1" style="3" min="8204" max="8204"/>
    <col width="9" customWidth="1" style="3" min="8205" max="8208"/>
    <col width="7.44140625" bestFit="1" customWidth="1" style="3" min="8209" max="8209"/>
    <col width="9.109375" bestFit="1" customWidth="1" style="3" min="8210" max="8214"/>
    <col width="9" customWidth="1" style="3" min="8215" max="8447"/>
    <col width="4.33203125" customWidth="1" style="3" min="8448" max="8448"/>
    <col width="4" customWidth="1" style="3" min="8449" max="8449"/>
    <col width="4.109375" customWidth="1" style="3" min="8450" max="8450"/>
    <col width="8" customWidth="1" style="3" min="8451" max="8451"/>
    <col width="8.109375" customWidth="1" style="3" min="8452" max="8453"/>
    <col width="9.109375" customWidth="1" style="3" min="8454" max="8454"/>
    <col width="9" customWidth="1" style="3" min="8455" max="8455"/>
    <col width="6.44140625" customWidth="1" style="3" min="8456" max="8456"/>
    <col width="26.109375" customWidth="1" style="3" min="8457" max="8457"/>
    <col width="7.109375" customWidth="1" style="3" min="8458" max="8458"/>
    <col width="11.109375" customWidth="1" style="3" min="8459" max="8459"/>
    <col width="5.109375" bestFit="1" customWidth="1" style="3" min="8460" max="8460"/>
    <col width="9" customWidth="1" style="3" min="8461" max="8464"/>
    <col width="7.44140625" bestFit="1" customWidth="1" style="3" min="8465" max="8465"/>
    <col width="9.109375" bestFit="1" customWidth="1" style="3" min="8466" max="8470"/>
    <col width="9" customWidth="1" style="3" min="8471" max="8703"/>
    <col width="4.33203125" customWidth="1" style="3" min="8704" max="8704"/>
    <col width="4" customWidth="1" style="3" min="8705" max="8705"/>
    <col width="4.109375" customWidth="1" style="3" min="8706" max="8706"/>
    <col width="8" customWidth="1" style="3" min="8707" max="8707"/>
    <col width="8.109375" customWidth="1" style="3" min="8708" max="8709"/>
    <col width="9.109375" customWidth="1" style="3" min="8710" max="8710"/>
    <col width="9" customWidth="1" style="3" min="8711" max="8711"/>
    <col width="6.44140625" customWidth="1" style="3" min="8712" max="8712"/>
    <col width="26.109375" customWidth="1" style="3" min="8713" max="8713"/>
    <col width="7.109375" customWidth="1" style="3" min="8714" max="8714"/>
    <col width="11.109375" customWidth="1" style="3" min="8715" max="8715"/>
    <col width="5.109375" bestFit="1" customWidth="1" style="3" min="8716" max="8716"/>
    <col width="9" customWidth="1" style="3" min="8717" max="8720"/>
    <col width="7.44140625" bestFit="1" customWidth="1" style="3" min="8721" max="8721"/>
    <col width="9.109375" bestFit="1" customWidth="1" style="3" min="8722" max="8726"/>
    <col width="9" customWidth="1" style="3" min="8727" max="8959"/>
    <col width="4.33203125" customWidth="1" style="3" min="8960" max="8960"/>
    <col width="4" customWidth="1" style="3" min="8961" max="8961"/>
    <col width="4.109375" customWidth="1" style="3" min="8962" max="8962"/>
    <col width="8" customWidth="1" style="3" min="8963" max="8963"/>
    <col width="8.109375" customWidth="1" style="3" min="8964" max="8965"/>
    <col width="9.109375" customWidth="1" style="3" min="8966" max="8966"/>
    <col width="9" customWidth="1" style="3" min="8967" max="8967"/>
    <col width="6.44140625" customWidth="1" style="3" min="8968" max="8968"/>
    <col width="26.109375" customWidth="1" style="3" min="8969" max="8969"/>
    <col width="7.109375" customWidth="1" style="3" min="8970" max="8970"/>
    <col width="11.109375" customWidth="1" style="3" min="8971" max="8971"/>
    <col width="5.109375" bestFit="1" customWidth="1" style="3" min="8972" max="8972"/>
    <col width="9" customWidth="1" style="3" min="8973" max="8976"/>
    <col width="7.44140625" bestFit="1" customWidth="1" style="3" min="8977" max="8977"/>
    <col width="9.109375" bestFit="1" customWidth="1" style="3" min="8978" max="8982"/>
    <col width="9" customWidth="1" style="3" min="8983" max="9215"/>
    <col width="4.33203125" customWidth="1" style="3" min="9216" max="9216"/>
    <col width="4" customWidth="1" style="3" min="9217" max="9217"/>
    <col width="4.109375" customWidth="1" style="3" min="9218" max="9218"/>
    <col width="8" customWidth="1" style="3" min="9219" max="9219"/>
    <col width="8.109375" customWidth="1" style="3" min="9220" max="9221"/>
    <col width="9.109375" customWidth="1" style="3" min="9222" max="9222"/>
    <col width="9" customWidth="1" style="3" min="9223" max="9223"/>
    <col width="6.44140625" customWidth="1" style="3" min="9224" max="9224"/>
    <col width="26.109375" customWidth="1" style="3" min="9225" max="9225"/>
    <col width="7.109375" customWidth="1" style="3" min="9226" max="9226"/>
    <col width="11.109375" customWidth="1" style="3" min="9227" max="9227"/>
    <col width="5.109375" bestFit="1" customWidth="1" style="3" min="9228" max="9228"/>
    <col width="9" customWidth="1" style="3" min="9229" max="9232"/>
    <col width="7.44140625" bestFit="1" customWidth="1" style="3" min="9233" max="9233"/>
    <col width="9.109375" bestFit="1" customWidth="1" style="3" min="9234" max="9238"/>
    <col width="9" customWidth="1" style="3" min="9239" max="9471"/>
    <col width="4.33203125" customWidth="1" style="3" min="9472" max="9472"/>
    <col width="4" customWidth="1" style="3" min="9473" max="9473"/>
    <col width="4.109375" customWidth="1" style="3" min="9474" max="9474"/>
    <col width="8" customWidth="1" style="3" min="9475" max="9475"/>
    <col width="8.109375" customWidth="1" style="3" min="9476" max="9477"/>
    <col width="9.109375" customWidth="1" style="3" min="9478" max="9478"/>
    <col width="9" customWidth="1" style="3" min="9479" max="9479"/>
    <col width="6.44140625" customWidth="1" style="3" min="9480" max="9480"/>
    <col width="26.109375" customWidth="1" style="3" min="9481" max="9481"/>
    <col width="7.109375" customWidth="1" style="3" min="9482" max="9482"/>
    <col width="11.109375" customWidth="1" style="3" min="9483" max="9483"/>
    <col width="5.109375" bestFit="1" customWidth="1" style="3" min="9484" max="9484"/>
    <col width="9" customWidth="1" style="3" min="9485" max="9488"/>
    <col width="7.44140625" bestFit="1" customWidth="1" style="3" min="9489" max="9489"/>
    <col width="9.109375" bestFit="1" customWidth="1" style="3" min="9490" max="9494"/>
    <col width="9" customWidth="1" style="3" min="9495" max="9727"/>
    <col width="4.33203125" customWidth="1" style="3" min="9728" max="9728"/>
    <col width="4" customWidth="1" style="3" min="9729" max="9729"/>
    <col width="4.109375" customWidth="1" style="3" min="9730" max="9730"/>
    <col width="8" customWidth="1" style="3" min="9731" max="9731"/>
    <col width="8.109375" customWidth="1" style="3" min="9732" max="9733"/>
    <col width="9.109375" customWidth="1" style="3" min="9734" max="9734"/>
    <col width="9" customWidth="1" style="3" min="9735" max="9735"/>
    <col width="6.44140625" customWidth="1" style="3" min="9736" max="9736"/>
    <col width="26.109375" customWidth="1" style="3" min="9737" max="9737"/>
    <col width="7.109375" customWidth="1" style="3" min="9738" max="9738"/>
    <col width="11.109375" customWidth="1" style="3" min="9739" max="9739"/>
    <col width="5.109375" bestFit="1" customWidth="1" style="3" min="9740" max="9740"/>
    <col width="9" customWidth="1" style="3" min="9741" max="9744"/>
    <col width="7.44140625" bestFit="1" customWidth="1" style="3" min="9745" max="9745"/>
    <col width="9.109375" bestFit="1" customWidth="1" style="3" min="9746" max="9750"/>
    <col width="9" customWidth="1" style="3" min="9751" max="9983"/>
    <col width="4.33203125" customWidth="1" style="3" min="9984" max="9984"/>
    <col width="4" customWidth="1" style="3" min="9985" max="9985"/>
    <col width="4.109375" customWidth="1" style="3" min="9986" max="9986"/>
    <col width="8" customWidth="1" style="3" min="9987" max="9987"/>
    <col width="8.109375" customWidth="1" style="3" min="9988" max="9989"/>
    <col width="9.109375" customWidth="1" style="3" min="9990" max="9990"/>
    <col width="9" customWidth="1" style="3" min="9991" max="9991"/>
    <col width="6.44140625" customWidth="1" style="3" min="9992" max="9992"/>
    <col width="26.109375" customWidth="1" style="3" min="9993" max="9993"/>
    <col width="7.109375" customWidth="1" style="3" min="9994" max="9994"/>
    <col width="11.109375" customWidth="1" style="3" min="9995" max="9995"/>
    <col width="5.109375" bestFit="1" customWidth="1" style="3" min="9996" max="9996"/>
    <col width="9" customWidth="1" style="3" min="9997" max="10000"/>
    <col width="7.44140625" bestFit="1" customWidth="1" style="3" min="10001" max="10001"/>
    <col width="9.109375" bestFit="1" customWidth="1" style="3" min="10002" max="10006"/>
    <col width="9" customWidth="1" style="3" min="10007" max="10239"/>
    <col width="4.33203125" customWidth="1" style="3" min="10240" max="10240"/>
    <col width="4" customWidth="1" style="3" min="10241" max="10241"/>
    <col width="4.109375" customWidth="1" style="3" min="10242" max="10242"/>
    <col width="8" customWidth="1" style="3" min="10243" max="10243"/>
    <col width="8.109375" customWidth="1" style="3" min="10244" max="10245"/>
    <col width="9.109375" customWidth="1" style="3" min="10246" max="10246"/>
    <col width="9" customWidth="1" style="3" min="10247" max="10247"/>
    <col width="6.44140625" customWidth="1" style="3" min="10248" max="10248"/>
    <col width="26.109375" customWidth="1" style="3" min="10249" max="10249"/>
    <col width="7.109375" customWidth="1" style="3" min="10250" max="10250"/>
    <col width="11.109375" customWidth="1" style="3" min="10251" max="10251"/>
    <col width="5.109375" bestFit="1" customWidth="1" style="3" min="10252" max="10252"/>
    <col width="9" customWidth="1" style="3" min="10253" max="10256"/>
    <col width="7.44140625" bestFit="1" customWidth="1" style="3" min="10257" max="10257"/>
    <col width="9.109375" bestFit="1" customWidth="1" style="3" min="10258" max="10262"/>
    <col width="9" customWidth="1" style="3" min="10263" max="10495"/>
    <col width="4.33203125" customWidth="1" style="3" min="10496" max="10496"/>
    <col width="4" customWidth="1" style="3" min="10497" max="10497"/>
    <col width="4.109375" customWidth="1" style="3" min="10498" max="10498"/>
    <col width="8" customWidth="1" style="3" min="10499" max="10499"/>
    <col width="8.109375" customWidth="1" style="3" min="10500" max="10501"/>
    <col width="9.109375" customWidth="1" style="3" min="10502" max="10502"/>
    <col width="9" customWidth="1" style="3" min="10503" max="10503"/>
    <col width="6.44140625" customWidth="1" style="3" min="10504" max="10504"/>
    <col width="26.109375" customWidth="1" style="3" min="10505" max="10505"/>
    <col width="7.109375" customWidth="1" style="3" min="10506" max="10506"/>
    <col width="11.109375" customWidth="1" style="3" min="10507" max="10507"/>
    <col width="5.109375" bestFit="1" customWidth="1" style="3" min="10508" max="10508"/>
    <col width="9" customWidth="1" style="3" min="10509" max="10512"/>
    <col width="7.44140625" bestFit="1" customWidth="1" style="3" min="10513" max="10513"/>
    <col width="9.109375" bestFit="1" customWidth="1" style="3" min="10514" max="10518"/>
    <col width="9" customWidth="1" style="3" min="10519" max="10751"/>
    <col width="4.33203125" customWidth="1" style="3" min="10752" max="10752"/>
    <col width="4" customWidth="1" style="3" min="10753" max="10753"/>
    <col width="4.109375" customWidth="1" style="3" min="10754" max="10754"/>
    <col width="8" customWidth="1" style="3" min="10755" max="10755"/>
    <col width="8.109375" customWidth="1" style="3" min="10756" max="10757"/>
    <col width="9.109375" customWidth="1" style="3" min="10758" max="10758"/>
    <col width="9" customWidth="1" style="3" min="10759" max="10759"/>
    <col width="6.44140625" customWidth="1" style="3" min="10760" max="10760"/>
    <col width="26.109375" customWidth="1" style="3" min="10761" max="10761"/>
    <col width="7.109375" customWidth="1" style="3" min="10762" max="10762"/>
    <col width="11.109375" customWidth="1" style="3" min="10763" max="10763"/>
    <col width="5.109375" bestFit="1" customWidth="1" style="3" min="10764" max="10764"/>
    <col width="9" customWidth="1" style="3" min="10765" max="10768"/>
    <col width="7.44140625" bestFit="1" customWidth="1" style="3" min="10769" max="10769"/>
    <col width="9.109375" bestFit="1" customWidth="1" style="3" min="10770" max="10774"/>
    <col width="9" customWidth="1" style="3" min="10775" max="11007"/>
    <col width="4.33203125" customWidth="1" style="3" min="11008" max="11008"/>
    <col width="4" customWidth="1" style="3" min="11009" max="11009"/>
    <col width="4.109375" customWidth="1" style="3" min="11010" max="11010"/>
    <col width="8" customWidth="1" style="3" min="11011" max="11011"/>
    <col width="8.109375" customWidth="1" style="3" min="11012" max="11013"/>
    <col width="9.109375" customWidth="1" style="3" min="11014" max="11014"/>
    <col width="9" customWidth="1" style="3" min="11015" max="11015"/>
    <col width="6.44140625" customWidth="1" style="3" min="11016" max="11016"/>
    <col width="26.109375" customWidth="1" style="3" min="11017" max="11017"/>
    <col width="7.109375" customWidth="1" style="3" min="11018" max="11018"/>
    <col width="11.109375" customWidth="1" style="3" min="11019" max="11019"/>
    <col width="5.109375" bestFit="1" customWidth="1" style="3" min="11020" max="11020"/>
    <col width="9" customWidth="1" style="3" min="11021" max="11024"/>
    <col width="7.44140625" bestFit="1" customWidth="1" style="3" min="11025" max="11025"/>
    <col width="9.109375" bestFit="1" customWidth="1" style="3" min="11026" max="11030"/>
    <col width="9" customWidth="1" style="3" min="11031" max="11263"/>
    <col width="4.33203125" customWidth="1" style="3" min="11264" max="11264"/>
    <col width="4" customWidth="1" style="3" min="11265" max="11265"/>
    <col width="4.109375" customWidth="1" style="3" min="11266" max="11266"/>
    <col width="8" customWidth="1" style="3" min="11267" max="11267"/>
    <col width="8.109375" customWidth="1" style="3" min="11268" max="11269"/>
    <col width="9.109375" customWidth="1" style="3" min="11270" max="11270"/>
    <col width="9" customWidth="1" style="3" min="11271" max="11271"/>
    <col width="6.44140625" customWidth="1" style="3" min="11272" max="11272"/>
    <col width="26.109375" customWidth="1" style="3" min="11273" max="11273"/>
    <col width="7.109375" customWidth="1" style="3" min="11274" max="11274"/>
    <col width="11.109375" customWidth="1" style="3" min="11275" max="11275"/>
    <col width="5.109375" bestFit="1" customWidth="1" style="3" min="11276" max="11276"/>
    <col width="9" customWidth="1" style="3" min="11277" max="11280"/>
    <col width="7.44140625" bestFit="1" customWidth="1" style="3" min="11281" max="11281"/>
    <col width="9.109375" bestFit="1" customWidth="1" style="3" min="11282" max="11286"/>
    <col width="9" customWidth="1" style="3" min="11287" max="11519"/>
    <col width="4.33203125" customWidth="1" style="3" min="11520" max="11520"/>
    <col width="4" customWidth="1" style="3" min="11521" max="11521"/>
    <col width="4.109375" customWidth="1" style="3" min="11522" max="11522"/>
    <col width="8" customWidth="1" style="3" min="11523" max="11523"/>
    <col width="8.109375" customWidth="1" style="3" min="11524" max="11525"/>
    <col width="9.109375" customWidth="1" style="3" min="11526" max="11526"/>
    <col width="9" customWidth="1" style="3" min="11527" max="11527"/>
    <col width="6.44140625" customWidth="1" style="3" min="11528" max="11528"/>
    <col width="26.109375" customWidth="1" style="3" min="11529" max="11529"/>
    <col width="7.109375" customWidth="1" style="3" min="11530" max="11530"/>
    <col width="11.109375" customWidth="1" style="3" min="11531" max="11531"/>
    <col width="5.109375" bestFit="1" customWidth="1" style="3" min="11532" max="11532"/>
    <col width="9" customWidth="1" style="3" min="11533" max="11536"/>
    <col width="7.44140625" bestFit="1" customWidth="1" style="3" min="11537" max="11537"/>
    <col width="9.109375" bestFit="1" customWidth="1" style="3" min="11538" max="11542"/>
    <col width="9" customWidth="1" style="3" min="11543" max="11775"/>
    <col width="4.33203125" customWidth="1" style="3" min="11776" max="11776"/>
    <col width="4" customWidth="1" style="3" min="11777" max="11777"/>
    <col width="4.109375" customWidth="1" style="3" min="11778" max="11778"/>
    <col width="8" customWidth="1" style="3" min="11779" max="11779"/>
    <col width="8.109375" customWidth="1" style="3" min="11780" max="11781"/>
    <col width="9.109375" customWidth="1" style="3" min="11782" max="11782"/>
    <col width="9" customWidth="1" style="3" min="11783" max="11783"/>
    <col width="6.44140625" customWidth="1" style="3" min="11784" max="11784"/>
    <col width="26.109375" customWidth="1" style="3" min="11785" max="11785"/>
    <col width="7.109375" customWidth="1" style="3" min="11786" max="11786"/>
    <col width="11.109375" customWidth="1" style="3" min="11787" max="11787"/>
    <col width="5.109375" bestFit="1" customWidth="1" style="3" min="11788" max="11788"/>
    <col width="9" customWidth="1" style="3" min="11789" max="11792"/>
    <col width="7.44140625" bestFit="1" customWidth="1" style="3" min="11793" max="11793"/>
    <col width="9.109375" bestFit="1" customWidth="1" style="3" min="11794" max="11798"/>
    <col width="9" customWidth="1" style="3" min="11799" max="12031"/>
    <col width="4.33203125" customWidth="1" style="3" min="12032" max="12032"/>
    <col width="4" customWidth="1" style="3" min="12033" max="12033"/>
    <col width="4.109375" customWidth="1" style="3" min="12034" max="12034"/>
    <col width="8" customWidth="1" style="3" min="12035" max="12035"/>
    <col width="8.109375" customWidth="1" style="3" min="12036" max="12037"/>
    <col width="9.109375" customWidth="1" style="3" min="12038" max="12038"/>
    <col width="9" customWidth="1" style="3" min="12039" max="12039"/>
    <col width="6.44140625" customWidth="1" style="3" min="12040" max="12040"/>
    <col width="26.109375" customWidth="1" style="3" min="12041" max="12041"/>
    <col width="7.109375" customWidth="1" style="3" min="12042" max="12042"/>
    <col width="11.109375" customWidth="1" style="3" min="12043" max="12043"/>
    <col width="5.109375" bestFit="1" customWidth="1" style="3" min="12044" max="12044"/>
    <col width="9" customWidth="1" style="3" min="12045" max="12048"/>
    <col width="7.44140625" bestFit="1" customWidth="1" style="3" min="12049" max="12049"/>
    <col width="9.109375" bestFit="1" customWidth="1" style="3" min="12050" max="12054"/>
    <col width="9" customWidth="1" style="3" min="12055" max="12287"/>
    <col width="4.33203125" customWidth="1" style="3" min="12288" max="12288"/>
    <col width="4" customWidth="1" style="3" min="12289" max="12289"/>
    <col width="4.109375" customWidth="1" style="3" min="12290" max="12290"/>
    <col width="8" customWidth="1" style="3" min="12291" max="12291"/>
    <col width="8.109375" customWidth="1" style="3" min="12292" max="12293"/>
    <col width="9.109375" customWidth="1" style="3" min="12294" max="12294"/>
    <col width="9" customWidth="1" style="3" min="12295" max="12295"/>
    <col width="6.44140625" customWidth="1" style="3" min="12296" max="12296"/>
    <col width="26.109375" customWidth="1" style="3" min="12297" max="12297"/>
    <col width="7.109375" customWidth="1" style="3" min="12298" max="12298"/>
    <col width="11.109375" customWidth="1" style="3" min="12299" max="12299"/>
    <col width="5.109375" bestFit="1" customWidth="1" style="3" min="12300" max="12300"/>
    <col width="9" customWidth="1" style="3" min="12301" max="12304"/>
    <col width="7.44140625" bestFit="1" customWidth="1" style="3" min="12305" max="12305"/>
    <col width="9.109375" bestFit="1" customWidth="1" style="3" min="12306" max="12310"/>
    <col width="9" customWidth="1" style="3" min="12311" max="12543"/>
    <col width="4.33203125" customWidth="1" style="3" min="12544" max="12544"/>
    <col width="4" customWidth="1" style="3" min="12545" max="12545"/>
    <col width="4.109375" customWidth="1" style="3" min="12546" max="12546"/>
    <col width="8" customWidth="1" style="3" min="12547" max="12547"/>
    <col width="8.109375" customWidth="1" style="3" min="12548" max="12549"/>
    <col width="9.109375" customWidth="1" style="3" min="12550" max="12550"/>
    <col width="9" customWidth="1" style="3" min="12551" max="12551"/>
    <col width="6.44140625" customWidth="1" style="3" min="12552" max="12552"/>
    <col width="26.109375" customWidth="1" style="3" min="12553" max="12553"/>
    <col width="7.109375" customWidth="1" style="3" min="12554" max="12554"/>
    <col width="11.109375" customWidth="1" style="3" min="12555" max="12555"/>
    <col width="5.109375" bestFit="1" customWidth="1" style="3" min="12556" max="12556"/>
    <col width="9" customWidth="1" style="3" min="12557" max="12560"/>
    <col width="7.44140625" bestFit="1" customWidth="1" style="3" min="12561" max="12561"/>
    <col width="9.109375" bestFit="1" customWidth="1" style="3" min="12562" max="12566"/>
    <col width="9" customWidth="1" style="3" min="12567" max="12799"/>
    <col width="4.33203125" customWidth="1" style="3" min="12800" max="12800"/>
    <col width="4" customWidth="1" style="3" min="12801" max="12801"/>
    <col width="4.109375" customWidth="1" style="3" min="12802" max="12802"/>
    <col width="8" customWidth="1" style="3" min="12803" max="12803"/>
    <col width="8.109375" customWidth="1" style="3" min="12804" max="12805"/>
    <col width="9.109375" customWidth="1" style="3" min="12806" max="12806"/>
    <col width="9" customWidth="1" style="3" min="12807" max="12807"/>
    <col width="6.44140625" customWidth="1" style="3" min="12808" max="12808"/>
    <col width="26.109375" customWidth="1" style="3" min="12809" max="12809"/>
    <col width="7.109375" customWidth="1" style="3" min="12810" max="12810"/>
    <col width="11.109375" customWidth="1" style="3" min="12811" max="12811"/>
    <col width="5.109375" bestFit="1" customWidth="1" style="3" min="12812" max="12812"/>
    <col width="9" customWidth="1" style="3" min="12813" max="12816"/>
    <col width="7.44140625" bestFit="1" customWidth="1" style="3" min="12817" max="12817"/>
    <col width="9.109375" bestFit="1" customWidth="1" style="3" min="12818" max="12822"/>
    <col width="9" customWidth="1" style="3" min="12823" max="13055"/>
    <col width="4.33203125" customWidth="1" style="3" min="13056" max="13056"/>
    <col width="4" customWidth="1" style="3" min="13057" max="13057"/>
    <col width="4.109375" customWidth="1" style="3" min="13058" max="13058"/>
    <col width="8" customWidth="1" style="3" min="13059" max="13059"/>
    <col width="8.109375" customWidth="1" style="3" min="13060" max="13061"/>
    <col width="9.109375" customWidth="1" style="3" min="13062" max="13062"/>
    <col width="9" customWidth="1" style="3" min="13063" max="13063"/>
    <col width="6.44140625" customWidth="1" style="3" min="13064" max="13064"/>
    <col width="26.109375" customWidth="1" style="3" min="13065" max="13065"/>
    <col width="7.109375" customWidth="1" style="3" min="13066" max="13066"/>
    <col width="11.109375" customWidth="1" style="3" min="13067" max="13067"/>
    <col width="5.109375" bestFit="1" customWidth="1" style="3" min="13068" max="13068"/>
    <col width="9" customWidth="1" style="3" min="13069" max="13072"/>
    <col width="7.44140625" bestFit="1" customWidth="1" style="3" min="13073" max="13073"/>
    <col width="9.109375" bestFit="1" customWidth="1" style="3" min="13074" max="13078"/>
    <col width="9" customWidth="1" style="3" min="13079" max="13311"/>
    <col width="4.33203125" customWidth="1" style="3" min="13312" max="13312"/>
    <col width="4" customWidth="1" style="3" min="13313" max="13313"/>
    <col width="4.109375" customWidth="1" style="3" min="13314" max="13314"/>
    <col width="8" customWidth="1" style="3" min="13315" max="13315"/>
    <col width="8.109375" customWidth="1" style="3" min="13316" max="13317"/>
    <col width="9.109375" customWidth="1" style="3" min="13318" max="13318"/>
    <col width="9" customWidth="1" style="3" min="13319" max="13319"/>
    <col width="6.44140625" customWidth="1" style="3" min="13320" max="13320"/>
    <col width="26.109375" customWidth="1" style="3" min="13321" max="13321"/>
    <col width="7.109375" customWidth="1" style="3" min="13322" max="13322"/>
    <col width="11.109375" customWidth="1" style="3" min="13323" max="13323"/>
    <col width="5.109375" bestFit="1" customWidth="1" style="3" min="13324" max="13324"/>
    <col width="9" customWidth="1" style="3" min="13325" max="13328"/>
    <col width="7.44140625" bestFit="1" customWidth="1" style="3" min="13329" max="13329"/>
    <col width="9.109375" bestFit="1" customWidth="1" style="3" min="13330" max="13334"/>
    <col width="9" customWidth="1" style="3" min="13335" max="13567"/>
    <col width="4.33203125" customWidth="1" style="3" min="13568" max="13568"/>
    <col width="4" customWidth="1" style="3" min="13569" max="13569"/>
    <col width="4.109375" customWidth="1" style="3" min="13570" max="13570"/>
    <col width="8" customWidth="1" style="3" min="13571" max="13571"/>
    <col width="8.109375" customWidth="1" style="3" min="13572" max="13573"/>
    <col width="9.109375" customWidth="1" style="3" min="13574" max="13574"/>
    <col width="9" customWidth="1" style="3" min="13575" max="13575"/>
    <col width="6.44140625" customWidth="1" style="3" min="13576" max="13576"/>
    <col width="26.109375" customWidth="1" style="3" min="13577" max="13577"/>
    <col width="7.109375" customWidth="1" style="3" min="13578" max="13578"/>
    <col width="11.109375" customWidth="1" style="3" min="13579" max="13579"/>
    <col width="5.109375" bestFit="1" customWidth="1" style="3" min="13580" max="13580"/>
    <col width="9" customWidth="1" style="3" min="13581" max="13584"/>
    <col width="7.44140625" bestFit="1" customWidth="1" style="3" min="13585" max="13585"/>
    <col width="9.109375" bestFit="1" customWidth="1" style="3" min="13586" max="13590"/>
    <col width="9" customWidth="1" style="3" min="13591" max="13823"/>
    <col width="4.33203125" customWidth="1" style="3" min="13824" max="13824"/>
    <col width="4" customWidth="1" style="3" min="13825" max="13825"/>
    <col width="4.109375" customWidth="1" style="3" min="13826" max="13826"/>
    <col width="8" customWidth="1" style="3" min="13827" max="13827"/>
    <col width="8.109375" customWidth="1" style="3" min="13828" max="13829"/>
    <col width="9.109375" customWidth="1" style="3" min="13830" max="13830"/>
    <col width="9" customWidth="1" style="3" min="13831" max="13831"/>
    <col width="6.44140625" customWidth="1" style="3" min="13832" max="13832"/>
    <col width="26.109375" customWidth="1" style="3" min="13833" max="13833"/>
    <col width="7.109375" customWidth="1" style="3" min="13834" max="13834"/>
    <col width="11.109375" customWidth="1" style="3" min="13835" max="13835"/>
    <col width="5.109375" bestFit="1" customWidth="1" style="3" min="13836" max="13836"/>
    <col width="9" customWidth="1" style="3" min="13837" max="13840"/>
    <col width="7.44140625" bestFit="1" customWidth="1" style="3" min="13841" max="13841"/>
    <col width="9.109375" bestFit="1" customWidth="1" style="3" min="13842" max="13846"/>
    <col width="9" customWidth="1" style="3" min="13847" max="14079"/>
    <col width="4.33203125" customWidth="1" style="3" min="14080" max="14080"/>
    <col width="4" customWidth="1" style="3" min="14081" max="14081"/>
    <col width="4.109375" customWidth="1" style="3" min="14082" max="14082"/>
    <col width="8" customWidth="1" style="3" min="14083" max="14083"/>
    <col width="8.109375" customWidth="1" style="3" min="14084" max="14085"/>
    <col width="9.109375" customWidth="1" style="3" min="14086" max="14086"/>
    <col width="9" customWidth="1" style="3" min="14087" max="14087"/>
    <col width="6.44140625" customWidth="1" style="3" min="14088" max="14088"/>
    <col width="26.109375" customWidth="1" style="3" min="14089" max="14089"/>
    <col width="7.109375" customWidth="1" style="3" min="14090" max="14090"/>
    <col width="11.109375" customWidth="1" style="3" min="14091" max="14091"/>
    <col width="5.109375" bestFit="1" customWidth="1" style="3" min="14092" max="14092"/>
    <col width="9" customWidth="1" style="3" min="14093" max="14096"/>
    <col width="7.44140625" bestFit="1" customWidth="1" style="3" min="14097" max="14097"/>
    <col width="9.109375" bestFit="1" customWidth="1" style="3" min="14098" max="14102"/>
    <col width="9" customWidth="1" style="3" min="14103" max="14335"/>
    <col width="4.33203125" customWidth="1" style="3" min="14336" max="14336"/>
    <col width="4" customWidth="1" style="3" min="14337" max="14337"/>
    <col width="4.109375" customWidth="1" style="3" min="14338" max="14338"/>
    <col width="8" customWidth="1" style="3" min="14339" max="14339"/>
    <col width="8.109375" customWidth="1" style="3" min="14340" max="14341"/>
    <col width="9.109375" customWidth="1" style="3" min="14342" max="14342"/>
    <col width="9" customWidth="1" style="3" min="14343" max="14343"/>
    <col width="6.44140625" customWidth="1" style="3" min="14344" max="14344"/>
    <col width="26.109375" customWidth="1" style="3" min="14345" max="14345"/>
    <col width="7.109375" customWidth="1" style="3" min="14346" max="14346"/>
    <col width="11.109375" customWidth="1" style="3" min="14347" max="14347"/>
    <col width="5.109375" bestFit="1" customWidth="1" style="3" min="14348" max="14348"/>
    <col width="9" customWidth="1" style="3" min="14349" max="14352"/>
    <col width="7.44140625" bestFit="1" customWidth="1" style="3" min="14353" max="14353"/>
    <col width="9.109375" bestFit="1" customWidth="1" style="3" min="14354" max="14358"/>
    <col width="9" customWidth="1" style="3" min="14359" max="14591"/>
    <col width="4.33203125" customWidth="1" style="3" min="14592" max="14592"/>
    <col width="4" customWidth="1" style="3" min="14593" max="14593"/>
    <col width="4.109375" customWidth="1" style="3" min="14594" max="14594"/>
    <col width="8" customWidth="1" style="3" min="14595" max="14595"/>
    <col width="8.109375" customWidth="1" style="3" min="14596" max="14597"/>
    <col width="9.109375" customWidth="1" style="3" min="14598" max="14598"/>
    <col width="9" customWidth="1" style="3" min="14599" max="14599"/>
    <col width="6.44140625" customWidth="1" style="3" min="14600" max="14600"/>
    <col width="26.109375" customWidth="1" style="3" min="14601" max="14601"/>
    <col width="7.109375" customWidth="1" style="3" min="14602" max="14602"/>
    <col width="11.109375" customWidth="1" style="3" min="14603" max="14603"/>
    <col width="5.109375" bestFit="1" customWidth="1" style="3" min="14604" max="14604"/>
    <col width="9" customWidth="1" style="3" min="14605" max="14608"/>
    <col width="7.44140625" bestFit="1" customWidth="1" style="3" min="14609" max="14609"/>
    <col width="9.109375" bestFit="1" customWidth="1" style="3" min="14610" max="14614"/>
    <col width="9" customWidth="1" style="3" min="14615" max="14847"/>
    <col width="4.33203125" customWidth="1" style="3" min="14848" max="14848"/>
    <col width="4" customWidth="1" style="3" min="14849" max="14849"/>
    <col width="4.109375" customWidth="1" style="3" min="14850" max="14850"/>
    <col width="8" customWidth="1" style="3" min="14851" max="14851"/>
    <col width="8.109375" customWidth="1" style="3" min="14852" max="14853"/>
    <col width="9.109375" customWidth="1" style="3" min="14854" max="14854"/>
    <col width="9" customWidth="1" style="3" min="14855" max="14855"/>
    <col width="6.44140625" customWidth="1" style="3" min="14856" max="14856"/>
    <col width="26.109375" customWidth="1" style="3" min="14857" max="14857"/>
    <col width="7.109375" customWidth="1" style="3" min="14858" max="14858"/>
    <col width="11.109375" customWidth="1" style="3" min="14859" max="14859"/>
    <col width="5.109375" bestFit="1" customWidth="1" style="3" min="14860" max="14860"/>
    <col width="9" customWidth="1" style="3" min="14861" max="14864"/>
    <col width="7.44140625" bestFit="1" customWidth="1" style="3" min="14865" max="14865"/>
    <col width="9.109375" bestFit="1" customWidth="1" style="3" min="14866" max="14870"/>
    <col width="9" customWidth="1" style="3" min="14871" max="15103"/>
    <col width="4.33203125" customWidth="1" style="3" min="15104" max="15104"/>
    <col width="4" customWidth="1" style="3" min="15105" max="15105"/>
    <col width="4.109375" customWidth="1" style="3" min="15106" max="15106"/>
    <col width="8" customWidth="1" style="3" min="15107" max="15107"/>
    <col width="8.109375" customWidth="1" style="3" min="15108" max="15109"/>
    <col width="9.109375" customWidth="1" style="3" min="15110" max="15110"/>
    <col width="9" customWidth="1" style="3" min="15111" max="15111"/>
    <col width="6.44140625" customWidth="1" style="3" min="15112" max="15112"/>
    <col width="26.109375" customWidth="1" style="3" min="15113" max="15113"/>
    <col width="7.109375" customWidth="1" style="3" min="15114" max="15114"/>
    <col width="11.109375" customWidth="1" style="3" min="15115" max="15115"/>
    <col width="5.109375" bestFit="1" customWidth="1" style="3" min="15116" max="15116"/>
    <col width="9" customWidth="1" style="3" min="15117" max="15120"/>
    <col width="7.44140625" bestFit="1" customWidth="1" style="3" min="15121" max="15121"/>
    <col width="9.109375" bestFit="1" customWidth="1" style="3" min="15122" max="15126"/>
    <col width="9" customWidth="1" style="3" min="15127" max="15359"/>
    <col width="4.33203125" customWidth="1" style="3" min="15360" max="15360"/>
    <col width="4" customWidth="1" style="3" min="15361" max="15361"/>
    <col width="4.109375" customWidth="1" style="3" min="15362" max="15362"/>
    <col width="8" customWidth="1" style="3" min="15363" max="15363"/>
    <col width="8.109375" customWidth="1" style="3" min="15364" max="15365"/>
    <col width="9.109375" customWidth="1" style="3" min="15366" max="15366"/>
    <col width="9" customWidth="1" style="3" min="15367" max="15367"/>
    <col width="6.44140625" customWidth="1" style="3" min="15368" max="15368"/>
    <col width="26.109375" customWidth="1" style="3" min="15369" max="15369"/>
    <col width="7.109375" customWidth="1" style="3" min="15370" max="15370"/>
    <col width="11.109375" customWidth="1" style="3" min="15371" max="15371"/>
    <col width="5.109375" bestFit="1" customWidth="1" style="3" min="15372" max="15372"/>
    <col width="9" customWidth="1" style="3" min="15373" max="15376"/>
    <col width="7.44140625" bestFit="1" customWidth="1" style="3" min="15377" max="15377"/>
    <col width="9.109375" bestFit="1" customWidth="1" style="3" min="15378" max="15382"/>
    <col width="9" customWidth="1" style="3" min="15383" max="15615"/>
    <col width="4.33203125" customWidth="1" style="3" min="15616" max="15616"/>
    <col width="4" customWidth="1" style="3" min="15617" max="15617"/>
    <col width="4.109375" customWidth="1" style="3" min="15618" max="15618"/>
    <col width="8" customWidth="1" style="3" min="15619" max="15619"/>
    <col width="8.109375" customWidth="1" style="3" min="15620" max="15621"/>
    <col width="9.109375" customWidth="1" style="3" min="15622" max="15622"/>
    <col width="9" customWidth="1" style="3" min="15623" max="15623"/>
    <col width="6.44140625" customWidth="1" style="3" min="15624" max="15624"/>
    <col width="26.109375" customWidth="1" style="3" min="15625" max="15625"/>
    <col width="7.109375" customWidth="1" style="3" min="15626" max="15626"/>
    <col width="11.109375" customWidth="1" style="3" min="15627" max="15627"/>
    <col width="5.109375" bestFit="1" customWidth="1" style="3" min="15628" max="15628"/>
    <col width="9" customWidth="1" style="3" min="15629" max="15632"/>
    <col width="7.44140625" bestFit="1" customWidth="1" style="3" min="15633" max="15633"/>
    <col width="9.109375" bestFit="1" customWidth="1" style="3" min="15634" max="15638"/>
    <col width="9" customWidth="1" style="3" min="15639" max="15871"/>
    <col width="4.33203125" customWidth="1" style="3" min="15872" max="15872"/>
    <col width="4" customWidth="1" style="3" min="15873" max="15873"/>
    <col width="4.109375" customWidth="1" style="3" min="15874" max="15874"/>
    <col width="8" customWidth="1" style="3" min="15875" max="15875"/>
    <col width="8.109375" customWidth="1" style="3" min="15876" max="15877"/>
    <col width="9.109375" customWidth="1" style="3" min="15878" max="15878"/>
    <col width="9" customWidth="1" style="3" min="15879" max="15879"/>
    <col width="6.44140625" customWidth="1" style="3" min="15880" max="15880"/>
    <col width="26.109375" customWidth="1" style="3" min="15881" max="15881"/>
    <col width="7.109375" customWidth="1" style="3" min="15882" max="15882"/>
    <col width="11.109375" customWidth="1" style="3" min="15883" max="15883"/>
    <col width="5.109375" bestFit="1" customWidth="1" style="3" min="15884" max="15884"/>
    <col width="9" customWidth="1" style="3" min="15885" max="15888"/>
    <col width="7.44140625" bestFit="1" customWidth="1" style="3" min="15889" max="15889"/>
    <col width="9.109375" bestFit="1" customWidth="1" style="3" min="15890" max="15894"/>
    <col width="9" customWidth="1" style="3" min="15895" max="16127"/>
    <col width="4.33203125" customWidth="1" style="3" min="16128" max="16128"/>
    <col width="4" customWidth="1" style="3" min="16129" max="16129"/>
    <col width="4.109375" customWidth="1" style="3" min="16130" max="16130"/>
    <col width="8" customWidth="1" style="3" min="16131" max="16131"/>
    <col width="8.109375" customWidth="1" style="3" min="16132" max="16133"/>
    <col width="9.109375" customWidth="1" style="3" min="16134" max="16134"/>
    <col width="9" customWidth="1" style="3" min="16135" max="16135"/>
    <col width="6.44140625" customWidth="1" style="3" min="16136" max="16136"/>
    <col width="26.109375" customWidth="1" style="3" min="16137" max="16137"/>
    <col width="7.109375" customWidth="1" style="3" min="16138" max="16138"/>
    <col width="11.109375" customWidth="1" style="3" min="16139" max="16139"/>
    <col width="5.109375" bestFit="1" customWidth="1" style="3" min="16140" max="16140"/>
    <col width="9" customWidth="1" style="3" min="16141" max="16144"/>
    <col width="7.44140625" bestFit="1" customWidth="1" style="3" min="16145" max="16145"/>
    <col width="9.109375" bestFit="1" customWidth="1" style="3" min="16146" max="16150"/>
    <col width="9" customWidth="1" style="3" min="16151" max="16383"/>
    <col width="9" customWidth="1" style="3" min="16384" max="16384"/>
  </cols>
  <sheetData>
    <row r="1" ht="27" customHeight="1" s="235" thickBot="1">
      <c r="A1" s="1" t="n"/>
      <c r="B1" s="1" t="n"/>
      <c r="C1" s="316" t="n"/>
      <c r="D1" s="316" t="n"/>
      <c r="F1" s="4" t="inlineStr">
        <is>
          <t>勤務実績表 兼　作業報告書</t>
        </is>
      </c>
      <c r="G1" s="5" t="n"/>
      <c r="I1" s="3" t="n"/>
      <c r="N1" s="219" t="inlineStr">
        <is>
          <t xml:space="preserve">注文番号：B540000　　　</t>
        </is>
      </c>
      <c r="O1" s="241" t="n"/>
      <c r="P1" s="241" t="n"/>
    </row>
    <row r="2" ht="19.5" customHeight="1" s="235" thickBot="1">
      <c r="G2" s="317" t="n">
        <v>44501</v>
      </c>
      <c r="H2" s="241" t="n"/>
      <c r="I2" s="241" t="n"/>
      <c r="J2" s="38" t="n"/>
      <c r="K2" s="318" t="inlineStr">
        <is>
          <t>報告者</t>
        </is>
      </c>
      <c r="L2" s="319" t="n"/>
      <c r="M2" s="318" t="inlineStr">
        <is>
          <t>ZEXIS承認者1</t>
        </is>
      </c>
      <c r="N2" s="319" t="n"/>
      <c r="O2" s="318" t="inlineStr">
        <is>
          <t>ZEXIS承認者2</t>
        </is>
      </c>
      <c r="P2" s="319" t="n"/>
      <c r="U2" s="23" t="n"/>
      <c r="V2" s="23" t="n"/>
    </row>
    <row r="3" ht="19.95" customHeight="1" s="235">
      <c r="E3" s="320">
        <f>DATEVALUE(TEXT(G2,"yyyy/mm/") &amp; "01")</f>
        <v/>
      </c>
      <c r="H3" s="321">
        <f>EDATE(E3,1)-1</f>
        <v/>
      </c>
      <c r="J3" s="239" t="n"/>
      <c r="K3" s="62" t="n"/>
      <c r="L3" s="63" t="n"/>
      <c r="M3" s="62" t="n"/>
      <c r="N3" s="64" t="n"/>
      <c r="O3" s="62" t="n"/>
      <c r="P3" s="64" t="n"/>
    </row>
    <row r="4" ht="19.95" customHeight="1" s="235" thickBot="1">
      <c r="B4" s="45" t="inlineStr">
        <is>
          <t>会社名：</t>
        </is>
      </c>
      <c r="D4" s="225" t="inlineStr">
        <is>
          <t>株式会社●●●●●●●●●●</t>
        </is>
      </c>
      <c r="E4" s="241" t="n"/>
      <c r="F4" s="241" t="n"/>
      <c r="G4" s="241" t="n"/>
      <c r="I4" s="39" t="n"/>
      <c r="J4" s="8" t="n"/>
      <c r="K4" s="62" t="n"/>
      <c r="L4" s="63" t="n"/>
      <c r="M4" s="62" t="n"/>
      <c r="N4" s="64" t="n"/>
      <c r="O4" s="62" t="n"/>
      <c r="P4" s="64" t="n"/>
    </row>
    <row r="5" ht="19.95" customHeight="1" s="235" thickBot="1">
      <c r="B5" s="40" t="inlineStr">
        <is>
          <t>作業者：</t>
        </is>
      </c>
      <c r="D5" s="226" t="inlineStr">
        <is>
          <t>●●　●●</t>
        </is>
      </c>
      <c r="E5" s="241" t="n"/>
      <c r="F5" s="241" t="n"/>
      <c r="G5" s="241" t="n"/>
      <c r="H5" s="41" t="inlineStr">
        <is>
          <t>合計時間</t>
        </is>
      </c>
      <c r="I5" s="322">
        <f>SUM(H8:H38)</f>
        <v/>
      </c>
      <c r="J5" s="8" t="n"/>
      <c r="K5" s="323" t="inlineStr">
        <is>
          <t>yyyy/mm/dd</t>
        </is>
      </c>
      <c r="L5" s="324" t="n"/>
      <c r="M5" s="323" t="inlineStr">
        <is>
          <t>yyyy/mm/dd</t>
        </is>
      </c>
      <c r="N5" s="324" t="n"/>
      <c r="O5" s="323" t="inlineStr">
        <is>
          <t>yyyy/mm/dd</t>
        </is>
      </c>
      <c r="P5" s="324" t="n"/>
    </row>
    <row r="6" ht="3.45" customHeight="1" s="235" thickBot="1">
      <c r="E6" s="242" t="n"/>
      <c r="F6" s="243" t="n"/>
      <c r="J6" s="8" t="n"/>
      <c r="K6" s="8" t="n"/>
      <c r="L6" s="8" t="n"/>
      <c r="M6" s="8" t="n"/>
      <c r="N6" s="8" t="n"/>
      <c r="O6" s="8" t="n"/>
      <c r="P6" s="9" t="n"/>
    </row>
    <row r="7" ht="24" customHeight="1" s="235" thickBot="1">
      <c r="A7" s="10" t="inlineStr">
        <is>
          <t>月</t>
        </is>
      </c>
      <c r="B7" s="11" t="inlineStr">
        <is>
          <t>日</t>
        </is>
      </c>
      <c r="C7" s="11" t="inlineStr">
        <is>
          <t>曜日</t>
        </is>
      </c>
      <c r="D7" s="11" t="inlineStr">
        <is>
          <t>勤務区分</t>
        </is>
      </c>
      <c r="E7" s="11" t="inlineStr">
        <is>
          <t>開 始</t>
        </is>
      </c>
      <c r="F7" s="12" t="inlineStr">
        <is>
          <t>終 了</t>
        </is>
      </c>
      <c r="G7" s="13" t="inlineStr">
        <is>
          <t>休憩時間</t>
        </is>
      </c>
      <c r="H7" s="14" t="inlineStr">
        <is>
          <t>勤務時間</t>
        </is>
      </c>
      <c r="I7" s="13" t="inlineStr">
        <is>
          <t>作業内容</t>
        </is>
      </c>
      <c r="J7" s="325" t="n"/>
      <c r="K7" s="325" t="n"/>
      <c r="L7" s="325" t="n"/>
      <c r="M7" s="325" t="n"/>
      <c r="N7" s="325" t="n"/>
      <c r="O7" s="326" t="n"/>
      <c r="P7" s="15" t="inlineStr">
        <is>
          <t>検印</t>
        </is>
      </c>
      <c r="Q7" s="16" t="inlineStr">
        <is>
          <t>休み</t>
        </is>
      </c>
    </row>
    <row r="8" ht="30" customHeight="1" s="235">
      <c r="A8" s="327">
        <f>B8</f>
        <v/>
      </c>
      <c r="B8" s="328">
        <f>E3</f>
        <v/>
      </c>
      <c r="C8" s="329">
        <f>B8</f>
        <v/>
      </c>
      <c r="D8" s="20">
        <f>IF(Q8="勤務","勤務",IF(OR(WEEKDAY(B8)=1,WEEKDAY(B8)=7,C8="日",Q8="祝日",Q8="特休",Q8="代休",Q8="休み"),"休日",IF(C8="","","勤務")))</f>
        <v/>
      </c>
      <c r="E8" s="330" t="n">
        <v>0.375</v>
      </c>
      <c r="F8" s="331" t="n">
        <v>0.8125</v>
      </c>
      <c r="G8" s="332">
        <f>IF(F8="","",IF(F8=":","",IF(F8&gt;=VALUE("13:15"),IF(F8&gt;VALUE("17:45"),IF(F8&gt;VALUE("21:00"),"1:15","1:00"),"0:45"),0)))</f>
        <v/>
      </c>
      <c r="H8" s="333">
        <f>IF(G8="","",F8-E8-G8)</f>
        <v/>
      </c>
      <c r="I8" s="334" t="inlineStr">
        <is>
          <t>【在宅勤務】a-MRO運用、Unicorn運用・ツール支援</t>
        </is>
      </c>
      <c r="J8" s="335" t="n"/>
      <c r="K8" s="335" t="n"/>
      <c r="L8" s="335" t="n"/>
      <c r="M8" s="335" t="n"/>
      <c r="N8" s="335" t="n"/>
      <c r="O8" s="294" t="n"/>
      <c r="P8" s="65" t="n"/>
      <c r="Q8" s="48" t="n"/>
    </row>
    <row r="9" ht="30" customHeight="1" s="235">
      <c r="A9" s="327" t="n"/>
      <c r="B9" s="328">
        <f>B8+1</f>
        <v/>
      </c>
      <c r="C9" s="329">
        <f>B9</f>
        <v/>
      </c>
      <c r="D9" s="20">
        <f>IF(Q9="勤務","勤務",IF(OR(WEEKDAY(B9)=1,WEEKDAY(B9)=7,C9="日",Q9="祝日",Q9="特休",Q9="代休",Q9="休み"),"休日",IF(C9="","","勤務")))</f>
        <v/>
      </c>
      <c r="E9" s="330" t="n">
        <v>0.375</v>
      </c>
      <c r="F9" s="331" t="n">
        <v>0.7291666666666666</v>
      </c>
      <c r="G9" s="332">
        <f>IF(F9="","",IF(F9=":","",IF(F9&gt;=VALUE("13:15"),IF(F9&gt;VALUE("17:45"),IF(F9&gt;VALUE("21:00"),"1:15","1:00"),"0:45"),0)))</f>
        <v/>
      </c>
      <c r="H9" s="333">
        <f>IF(G9="","",F9-E9-G9)</f>
        <v/>
      </c>
      <c r="I9" s="334" t="inlineStr">
        <is>
          <t xml:space="preserve">  a-MRO運用、Unicorn運用・ツール支援</t>
        </is>
      </c>
      <c r="J9" s="335" t="n"/>
      <c r="K9" s="335" t="n"/>
      <c r="L9" s="335" t="n"/>
      <c r="M9" s="335" t="n"/>
      <c r="N9" s="335" t="n"/>
      <c r="O9" s="294" t="n"/>
      <c r="P9" s="65" t="n"/>
      <c r="Q9" s="48" t="n"/>
      <c r="S9" s="45" t="inlineStr">
        <is>
          <t>必須入力項目</t>
        </is>
      </c>
    </row>
    <row r="10" ht="30" customHeight="1" s="235">
      <c r="A10" s="327" t="n"/>
      <c r="B10" s="328">
        <f>B9+1</f>
        <v/>
      </c>
      <c r="C10" s="329">
        <f>B10</f>
        <v/>
      </c>
      <c r="D10" s="20">
        <f>IF(Q10="勤務","勤務",IF(OR(WEEKDAY(B10)=1,WEEKDAY(B10)=7,C10="日",Q10="祝日",Q10="特休",Q10="代休",Q10="休み"),"休日",IF(C10="","","勤務")))</f>
        <v/>
      </c>
      <c r="E10" s="330" t="n"/>
      <c r="F10" s="331" t="n"/>
      <c r="G10" s="332">
        <f>IF(F10="","",IF(F10=":","",IF(F10&gt;=VALUE("13:15"),IF(F10&gt;VALUE("17:45"),IF(F10&gt;VALUE("21:00"),"1:15","1:00"),"0:45"),0)))</f>
        <v/>
      </c>
      <c r="H10" s="333">
        <f>IF(G10="","",F10-E10-G10)</f>
        <v/>
      </c>
      <c r="I10" s="334" t="n"/>
      <c r="J10" s="335" t="n"/>
      <c r="K10" s="335" t="n"/>
      <c r="L10" s="335" t="n"/>
      <c r="M10" s="335" t="n"/>
      <c r="N10" s="335" t="n"/>
      <c r="O10" s="294" t="n"/>
      <c r="P10" s="65" t="n"/>
      <c r="Q10" s="48" t="n"/>
      <c r="S10" s="45" t="inlineStr">
        <is>
          <t>入力不可項目</t>
        </is>
      </c>
    </row>
    <row r="11" ht="30" customHeight="1" s="235">
      <c r="A11" s="327" t="n"/>
      <c r="B11" s="328">
        <f>B10+1</f>
        <v/>
      </c>
      <c r="C11" s="329">
        <f>B11</f>
        <v/>
      </c>
      <c r="D11" s="24">
        <f>IF(Q11="勤務","勤務",IF(OR(WEEKDAY(B11)=1,WEEKDAY(B11)=7,C11="日",Q11="祝日",Q11="特休",Q11="代休",Q11="休み"),"休日",IF(C11="","","勤務")))</f>
        <v/>
      </c>
      <c r="E11" s="330" t="n"/>
      <c r="F11" s="331" t="n"/>
      <c r="G11" s="332">
        <f>IF(F11="","",IF(F11=":","",IF(F11&gt;=VALUE("13:15"),IF(F11&gt;VALUE("17:45"),IF(F11&gt;VALUE("21:00"),"1:15","1:00"),"0:45"),0)))</f>
        <v/>
      </c>
      <c r="H11" s="333">
        <f>IF(G11="","",F11-E11-G11)</f>
        <v/>
      </c>
      <c r="I11" s="334" t="n"/>
      <c r="J11" s="335" t="n"/>
      <c r="K11" s="335" t="n"/>
      <c r="L11" s="335" t="n"/>
      <c r="M11" s="335" t="n"/>
      <c r="N11" s="335" t="n"/>
      <c r="O11" s="294" t="n"/>
      <c r="P11" s="65" t="n"/>
      <c r="Q11" s="48" t="n"/>
      <c r="S11" s="45" t="inlineStr">
        <is>
          <t>その他項目はフリー</t>
        </is>
      </c>
    </row>
    <row r="12" ht="30" customHeight="1" s="235">
      <c r="A12" s="327" t="n"/>
      <c r="B12" s="328">
        <f>B11+1</f>
        <v/>
      </c>
      <c r="C12" s="329">
        <f>B12</f>
        <v/>
      </c>
      <c r="D12" s="20">
        <f>IF(Q12="勤務","勤務",IF(OR(WEEKDAY(B12)=1,WEEKDAY(B12)=7,C12="日",Q12="祝日",Q12="特休",Q12="代休",Q12="休み"),"休日",IF(C12="","","勤務")))</f>
        <v/>
      </c>
      <c r="E12" s="330" t="n"/>
      <c r="F12" s="331" t="n"/>
      <c r="G12" s="332">
        <f>IF(F12="","",IF(F12=":","",IF(F12&gt;=VALUE("13:15"),IF(F12&gt;VALUE("17:45"),IF(F12&gt;VALUE("21:00"),"1:15","1:00"),"0:45"),0)))</f>
        <v/>
      </c>
      <c r="H12" s="333">
        <f>IF(G12="","",F12-E12-G12)</f>
        <v/>
      </c>
      <c r="I12" s="334" t="n"/>
      <c r="J12" s="335" t="n"/>
      <c r="K12" s="335" t="n"/>
      <c r="L12" s="335" t="n"/>
      <c r="M12" s="335" t="n"/>
      <c r="N12" s="335" t="n"/>
      <c r="O12" s="294" t="n"/>
      <c r="P12" s="65" t="n"/>
      <c r="Q12" s="48" t="n"/>
    </row>
    <row r="13" ht="30" customHeight="1" s="235">
      <c r="A13" s="327" t="n"/>
      <c r="B13" s="328">
        <f>B12+1</f>
        <v/>
      </c>
      <c r="C13" s="329">
        <f>B13</f>
        <v/>
      </c>
      <c r="D13" s="20">
        <f>IF(Q13="勤務","勤務",IF(OR(WEEKDAY(B13)=1,WEEKDAY(B13)=7,C13="日",Q13="祝日",Q13="特休",Q13="代休",Q13="休み"),"休日",IF(C13="","","勤務")))</f>
        <v/>
      </c>
      <c r="E13" s="330" t="n"/>
      <c r="F13" s="331" t="n"/>
      <c r="G13" s="332">
        <f>IF(F13="","",IF(F13=":","",IF(F13&gt;=VALUE("13:15"),IF(F13&gt;VALUE("17:45"),IF(F13&gt;VALUE("21:00"),"1:15","1:00"),"0:45"),0)))</f>
        <v/>
      </c>
      <c r="H13" s="333">
        <f>IF(G13="","",F13-E13-G13)</f>
        <v/>
      </c>
      <c r="I13" s="334" t="n"/>
      <c r="J13" s="335" t="n"/>
      <c r="K13" s="335" t="n"/>
      <c r="L13" s="335" t="n"/>
      <c r="M13" s="335" t="n"/>
      <c r="N13" s="335" t="n"/>
      <c r="O13" s="294" t="n"/>
      <c r="P13" s="65" t="n"/>
      <c r="Q13" s="48" t="n"/>
    </row>
    <row r="14" ht="30" customHeight="1" s="235">
      <c r="A14" s="327" t="n"/>
      <c r="B14" s="328">
        <f>B13+1</f>
        <v/>
      </c>
      <c r="C14" s="329">
        <f>B14</f>
        <v/>
      </c>
      <c r="D14" s="20">
        <f>IF(Q14="勤務","勤務",IF(OR(WEEKDAY(B14)=1,WEEKDAY(B14)=7,C14="日",Q14="祝日",Q14="特休",Q14="代休",Q14="休み"),"休日",IF(C14="","","勤務")))</f>
        <v/>
      </c>
      <c r="E14" s="330" t="n"/>
      <c r="F14" s="331" t="n"/>
      <c r="G14" s="332">
        <f>IF(F14="","",IF(F14=":","",IF(F14&gt;=VALUE("13:15"),IF(F14&gt;VALUE("17:45"),IF(F14&gt;VALUE("21:00"),"1:15","1:00"),"0:45"),0)))</f>
        <v/>
      </c>
      <c r="H14" s="333">
        <f>IF(G14="","",F14-E14-G14)</f>
        <v/>
      </c>
      <c r="I14" s="334" t="n"/>
      <c r="J14" s="335" t="n"/>
      <c r="K14" s="335" t="n"/>
      <c r="L14" s="335" t="n"/>
      <c r="M14" s="335" t="n"/>
      <c r="N14" s="335" t="n"/>
      <c r="O14" s="294" t="n"/>
      <c r="P14" s="65" t="n"/>
      <c r="Q14" s="48" t="n"/>
    </row>
    <row r="15" ht="30" customHeight="1" s="235">
      <c r="A15" s="25" t="n"/>
      <c r="B15" s="328">
        <f>B14+1</f>
        <v/>
      </c>
      <c r="C15" s="329">
        <f>B15</f>
        <v/>
      </c>
      <c r="D15" s="20">
        <f>IF(Q15="勤務","勤務",IF(OR(WEEKDAY(B15)=1,WEEKDAY(B15)=7,C15="日",Q15="祝日",Q15="特休",Q15="代休",Q15="休み"),"休日",IF(C15="","","勤務")))</f>
        <v/>
      </c>
      <c r="E15" s="330" t="n"/>
      <c r="F15" s="331" t="n"/>
      <c r="G15" s="332">
        <f>IF(F15="","",IF(F15=":","",IF(F15&gt;=VALUE("13:15"),IF(F15&gt;VALUE("17:45"),IF(F15&gt;VALUE("21:00"),"1:15","1:00"),"0:45"),0)))</f>
        <v/>
      </c>
      <c r="H15" s="333">
        <f>IF(G15="","",F15-E15-G15)</f>
        <v/>
      </c>
      <c r="I15" s="334" t="n"/>
      <c r="J15" s="335" t="n"/>
      <c r="K15" s="335" t="n"/>
      <c r="L15" s="335" t="n"/>
      <c r="M15" s="335" t="n"/>
      <c r="N15" s="335" t="n"/>
      <c r="O15" s="294" t="n"/>
      <c r="P15" s="65" t="n"/>
      <c r="Q15" s="48" t="n"/>
    </row>
    <row r="16" ht="30" customHeight="1" s="235">
      <c r="A16" s="327">
        <f>IF(DAY(B16)=1,B16,"")</f>
        <v/>
      </c>
      <c r="B16" s="328">
        <f>B15+1</f>
        <v/>
      </c>
      <c r="C16" s="329">
        <f>B16</f>
        <v/>
      </c>
      <c r="D16" s="20">
        <f>IF(Q16="勤務","勤務",IF(OR(WEEKDAY(B16)=1,WEEKDAY(B16)=7,C16="日",Q16="祝日",Q16="特休",Q16="代休",Q16="休み"),"休日",IF(C16="","","勤務")))</f>
        <v/>
      </c>
      <c r="E16" s="330" t="n"/>
      <c r="F16" s="331" t="n"/>
      <c r="G16" s="332">
        <f>IF(F16="","",IF(F16=":","",IF(F16&gt;=VALUE("13:15"),IF(F16&gt;VALUE("17:45"),IF(F16&gt;VALUE("21:00"),"1:15","1:00"),"0:45"),0)))</f>
        <v/>
      </c>
      <c r="H16" s="333">
        <f>IF(G16="","",F16-E16-G16)</f>
        <v/>
      </c>
      <c r="I16" s="334" t="n"/>
      <c r="J16" s="335" t="n"/>
      <c r="K16" s="335" t="n"/>
      <c r="L16" s="335" t="n"/>
      <c r="M16" s="335" t="n"/>
      <c r="N16" s="335" t="n"/>
      <c r="O16" s="294" t="n"/>
      <c r="P16" s="65" t="n"/>
      <c r="Q16" s="48" t="n"/>
    </row>
    <row r="17" ht="30" customHeight="1" s="235">
      <c r="A17" s="327">
        <f>IF(DAY(B17)=1,B17,"")</f>
        <v/>
      </c>
      <c r="B17" s="328">
        <f>B16+1</f>
        <v/>
      </c>
      <c r="C17" s="329">
        <f>B17</f>
        <v/>
      </c>
      <c r="D17" s="20">
        <f>IF(Q17="勤務","勤務",IF(OR(WEEKDAY(B17)=1,WEEKDAY(B17)=7,C17="日",Q17="祝日",Q17="特休",Q17="代休",Q17="休み"),"休日",IF(C17="","","勤務")))</f>
        <v/>
      </c>
      <c r="E17" s="330" t="n"/>
      <c r="F17" s="331" t="n"/>
      <c r="G17" s="332">
        <f>IF(F17="","",IF(F17=":","",IF(F17&gt;=VALUE("13:15"),IF(F17&gt;VALUE("17:45"),IF(F17&gt;VALUE("21:00"),"1:15","1:00"),"0:45"),0)))</f>
        <v/>
      </c>
      <c r="H17" s="333">
        <f>IF(G17="","",F17-E17-G17)</f>
        <v/>
      </c>
      <c r="I17" s="334" t="n"/>
      <c r="J17" s="335" t="n"/>
      <c r="K17" s="335" t="n"/>
      <c r="L17" s="335" t="n"/>
      <c r="M17" s="335" t="n"/>
      <c r="N17" s="335" t="n"/>
      <c r="O17" s="294" t="n"/>
      <c r="P17" s="65" t="n"/>
      <c r="Q17" s="48" t="n"/>
    </row>
    <row r="18" ht="30" customHeight="1" s="235">
      <c r="A18" s="327">
        <f>IF(DAY(B18)=1,B18,"")</f>
        <v/>
      </c>
      <c r="B18" s="336">
        <f>B17+1</f>
        <v/>
      </c>
      <c r="C18" s="337">
        <f>B18</f>
        <v/>
      </c>
      <c r="D18" s="24">
        <f>IF(Q18="勤務","勤務",IF(OR(WEEKDAY(B18)=1,WEEKDAY(B18)=7,C18="日",Q18="祝日",Q18="特休",Q18="代休",Q18="休み"),"休日",IF(C18="","","勤務")))</f>
        <v/>
      </c>
      <c r="E18" s="330" t="n"/>
      <c r="F18" s="331" t="n"/>
      <c r="G18" s="332">
        <f>IF(F18="","",IF(F18=":","",IF(F18&gt;=VALUE("13:15"),IF(F18&gt;VALUE("17:45"),IF(F18&gt;VALUE("21:00"),"1:15","1:00"),"0:45"),0)))</f>
        <v/>
      </c>
      <c r="H18" s="333">
        <f>IF(G18="","",F18-E18-G18)</f>
        <v/>
      </c>
      <c r="I18" s="334" t="n"/>
      <c r="J18" s="335" t="n"/>
      <c r="K18" s="335" t="n"/>
      <c r="L18" s="335" t="n"/>
      <c r="M18" s="335" t="n"/>
      <c r="N18" s="335" t="n"/>
      <c r="O18" s="294" t="n"/>
      <c r="P18" s="65" t="n"/>
      <c r="Q18" s="48" t="n"/>
    </row>
    <row r="19" ht="30" customHeight="1" s="235">
      <c r="A19" s="327">
        <f>IF(DAY(B19)=1,B19,"")</f>
        <v/>
      </c>
      <c r="B19" s="336">
        <f>B18+1</f>
        <v/>
      </c>
      <c r="C19" s="337">
        <f>B19</f>
        <v/>
      </c>
      <c r="D19" s="20">
        <f>IF(Q19="勤務","勤務",IF(OR(WEEKDAY(B19)=1,WEEKDAY(B19)=7,C19="日",Q19="祝日",Q19="特休",Q19="代休",Q19="休み"),"休日",IF(C19="","","勤務")))</f>
        <v/>
      </c>
      <c r="E19" s="330" t="n"/>
      <c r="F19" s="331" t="n"/>
      <c r="G19" s="332">
        <f>IF(F19="","",IF(F19=":","",IF(F19&gt;=VALUE("13:15"),IF(F19&gt;VALUE("17:45"),IF(F19&gt;VALUE("21:00"),"1:15","1:00"),"0:45"),0)))</f>
        <v/>
      </c>
      <c r="H19" s="333">
        <f>IF(G19="","",F19-E19-G19)</f>
        <v/>
      </c>
      <c r="I19" s="334" t="n"/>
      <c r="J19" s="335" t="n"/>
      <c r="K19" s="335" t="n"/>
      <c r="L19" s="335" t="n"/>
      <c r="M19" s="335" t="n"/>
      <c r="N19" s="335" t="n"/>
      <c r="O19" s="294" t="n"/>
      <c r="P19" s="65" t="n"/>
      <c r="Q19" s="48" t="n"/>
    </row>
    <row r="20" ht="30" customHeight="1" s="235">
      <c r="A20" s="327" t="n"/>
      <c r="B20" s="336">
        <f>B19+1</f>
        <v/>
      </c>
      <c r="C20" s="329">
        <f>B20</f>
        <v/>
      </c>
      <c r="D20" s="20">
        <f>IF(Q20="勤務","勤務",IF(OR(WEEKDAY(B20)=1,WEEKDAY(B20)=7,C20="日",Q20="祝日",Q20="特休",Q20="代休",Q20="休み"),"休日",IF(C20="","","勤務")))</f>
        <v/>
      </c>
      <c r="E20" s="330" t="n"/>
      <c r="F20" s="331" t="n"/>
      <c r="G20" s="332">
        <f>IF(F20="","",IF(F20=":","",IF(F20&gt;=VALUE("13:15"),IF(F20&gt;VALUE("17:45"),IF(F20&gt;VALUE("21:00"),"1:15","1:00"),"0:45"),0)))</f>
        <v/>
      </c>
      <c r="H20" s="333">
        <f>IF(G20="","",F20-E20-G20)</f>
        <v/>
      </c>
      <c r="I20" s="334" t="n"/>
      <c r="J20" s="335" t="n"/>
      <c r="K20" s="335" t="n"/>
      <c r="L20" s="335" t="n"/>
      <c r="M20" s="335" t="n"/>
      <c r="N20" s="335" t="n"/>
      <c r="O20" s="294" t="n"/>
      <c r="P20" s="65" t="n"/>
      <c r="Q20" s="48" t="n"/>
    </row>
    <row r="21" ht="30" customHeight="1" s="235">
      <c r="A21" s="25" t="n"/>
      <c r="B21" s="336">
        <f>B20+1</f>
        <v/>
      </c>
      <c r="C21" s="329">
        <f>B21</f>
        <v/>
      </c>
      <c r="D21" s="20">
        <f>IF(Q21="勤務","勤務",IF(OR(WEEKDAY(B21)=1,WEEKDAY(B21)=7,C21="日",Q21="祝日",Q21="特休",Q21="代休",Q21="休み"),"休日",IF(C21="","","勤務")))</f>
        <v/>
      </c>
      <c r="E21" s="330" t="n"/>
      <c r="F21" s="331" t="n"/>
      <c r="G21" s="332">
        <f>IF(F21="","",IF(F21=":","",IF(F21&gt;=VALUE("13:15"),IF(F21&gt;VALUE("17:45"),IF(F21&gt;VALUE("21:00"),"1:15","1:00"),"0:45"),0)))</f>
        <v/>
      </c>
      <c r="H21" s="333">
        <f>IF(G21="","",F21-E21-G21)</f>
        <v/>
      </c>
      <c r="I21" s="334" t="n"/>
      <c r="J21" s="335" t="n"/>
      <c r="K21" s="335" t="n"/>
      <c r="L21" s="335" t="n"/>
      <c r="M21" s="335" t="n"/>
      <c r="N21" s="335" t="n"/>
      <c r="O21" s="294" t="n"/>
      <c r="P21" s="65" t="n"/>
      <c r="Q21" s="48" t="n"/>
    </row>
    <row r="22" ht="30" customHeight="1" s="235">
      <c r="A22" s="25" t="n"/>
      <c r="B22" s="336">
        <f>B21+1</f>
        <v/>
      </c>
      <c r="C22" s="337">
        <f>B22</f>
        <v/>
      </c>
      <c r="D22" s="20">
        <f>IF(Q22="勤務","勤務",IF(OR(WEEKDAY(B22)=1,WEEKDAY(B22)=7,C22="日",Q22="祝日",Q22="特休",Q22="代休",Q22="休み"),"休日",IF(C22="","","勤務")))</f>
        <v/>
      </c>
      <c r="E22" s="330" t="n"/>
      <c r="F22" s="331" t="n"/>
      <c r="G22" s="332">
        <f>IF(F22="","",IF(F22=":","",IF(F22&gt;=VALUE("13:15"),IF(F22&gt;VALUE("17:45"),IF(F22&gt;VALUE("21:00"),"1:15","1:00"),"0:45"),0)))</f>
        <v/>
      </c>
      <c r="H22" s="333">
        <f>IF(G22="","",F22-E22-G22)</f>
        <v/>
      </c>
      <c r="I22" s="334" t="n"/>
      <c r="J22" s="335" t="n"/>
      <c r="K22" s="335" t="n"/>
      <c r="L22" s="335" t="n"/>
      <c r="M22" s="335" t="n"/>
      <c r="N22" s="335" t="n"/>
      <c r="O22" s="294" t="n"/>
      <c r="P22" s="65" t="n"/>
      <c r="Q22" s="48" t="n"/>
    </row>
    <row r="23" ht="30" customHeight="1" s="235">
      <c r="A23" s="25" t="n"/>
      <c r="B23" s="336">
        <f>B22+1</f>
        <v/>
      </c>
      <c r="C23" s="338">
        <f>B23</f>
        <v/>
      </c>
      <c r="D23" s="20">
        <f>IF(Q23="勤務","勤務",IF(OR(WEEKDAY(B23)=1,WEEKDAY(B23)=7,C23="日",Q23="祝日",Q23="特休",Q23="代休",Q23="休み"),"休日",IF(C23="","","勤務")))</f>
        <v/>
      </c>
      <c r="E23" s="330" t="n"/>
      <c r="F23" s="331" t="n"/>
      <c r="G23" s="332">
        <f>IF(F23="","",IF(F23=":","",IF(F23&gt;=VALUE("13:15"),IF(F23&gt;VALUE("17:45"),IF(F23&gt;VALUE("21:00"),"1:15","1:00"),"0:45"),0)))</f>
        <v/>
      </c>
      <c r="H23" s="333">
        <f>IF(G23="","",F23-E23-G23)</f>
        <v/>
      </c>
      <c r="I23" s="334" t="n"/>
      <c r="J23" s="335" t="n"/>
      <c r="K23" s="335" t="n"/>
      <c r="L23" s="335" t="n"/>
      <c r="M23" s="335" t="n"/>
      <c r="N23" s="335" t="n"/>
      <c r="O23" s="294" t="n"/>
      <c r="P23" s="65" t="n"/>
      <c r="Q23" s="48" t="n"/>
    </row>
    <row r="24" ht="30" customHeight="1" s="235">
      <c r="A24" s="25" t="n"/>
      <c r="B24" s="328">
        <f>B23+1</f>
        <v/>
      </c>
      <c r="C24" s="329">
        <f>B24</f>
        <v/>
      </c>
      <c r="D24" s="20">
        <f>IF(Q24="勤務","勤務",IF(OR(WEEKDAY(B24)=1,WEEKDAY(B24)=7,C24="日",Q24="祝日",Q24="特休",Q24="代休",Q24="休み"),"休日",IF(C24="","","勤務")))</f>
        <v/>
      </c>
      <c r="E24" s="330" t="n"/>
      <c r="F24" s="331" t="n"/>
      <c r="G24" s="332">
        <f>IF(F24="","",IF(F24=":","",IF(F24&gt;=VALUE("13:15"),IF(F24&gt;VALUE("17:45"),IF(F24&gt;VALUE("21:00"),"1:15","1:00"),"0:45"),0)))</f>
        <v/>
      </c>
      <c r="H24" s="333">
        <f>IF(G24="","",F24-E24-G24)</f>
        <v/>
      </c>
      <c r="I24" s="334" t="n"/>
      <c r="J24" s="335" t="n"/>
      <c r="K24" s="335" t="n"/>
      <c r="L24" s="335" t="n"/>
      <c r="M24" s="335" t="n"/>
      <c r="N24" s="335" t="n"/>
      <c r="O24" s="294" t="n"/>
      <c r="P24" s="65" t="n"/>
      <c r="Q24" s="48" t="n"/>
    </row>
    <row r="25" ht="30" customHeight="1" s="235">
      <c r="A25" s="25" t="n"/>
      <c r="B25" s="328">
        <f>B24+1</f>
        <v/>
      </c>
      <c r="C25" s="329">
        <f>B25</f>
        <v/>
      </c>
      <c r="D25" s="20">
        <f>IF(Q25="勤務","勤務",IF(OR(WEEKDAY(B25)=1,WEEKDAY(B25)=7,C25="日",Q25="祝日",Q25="特休",Q25="代休",Q25="休み"),"休日",IF(C25="","","勤務")))</f>
        <v/>
      </c>
      <c r="E25" s="330" t="n"/>
      <c r="F25" s="331" t="n"/>
      <c r="G25" s="332">
        <f>IF(F25="","",IF(F25=":","",IF(F25&gt;=VALUE("13:15"),IF(F25&gt;VALUE("17:45"),IF(F25&gt;VALUE("21:00"),"1:15","1:00"),"0:45"),0)))</f>
        <v/>
      </c>
      <c r="H25" s="333">
        <f>IF(G25="","",F25-E25-G25)</f>
        <v/>
      </c>
      <c r="I25" s="334" t="n"/>
      <c r="J25" s="335" t="n"/>
      <c r="K25" s="335" t="n"/>
      <c r="L25" s="335" t="n"/>
      <c r="M25" s="335" t="n"/>
      <c r="N25" s="335" t="n"/>
      <c r="O25" s="294" t="n"/>
      <c r="P25" s="65" t="n"/>
      <c r="Q25" s="48" t="n"/>
    </row>
    <row r="26" ht="30" customHeight="1" s="235">
      <c r="A26" s="25" t="n"/>
      <c r="B26" s="336">
        <f>B25+1</f>
        <v/>
      </c>
      <c r="C26" s="338">
        <f>B26</f>
        <v/>
      </c>
      <c r="D26" s="24">
        <f>IF(Q26="勤務","勤務",IF(OR(WEEKDAY(B26)=1,WEEKDAY(B26)=7,C26="日",Q26="祝日",Q26="特休",Q26="代休",Q26="休み"),"休日",IF(C26="","","勤務")))</f>
        <v/>
      </c>
      <c r="E26" s="330" t="n"/>
      <c r="F26" s="331" t="n"/>
      <c r="G26" s="332">
        <f>IF(F26="","",IF(F26=":","",IF(F26&gt;=VALUE("13:15"),IF(F26&gt;VALUE("17:45"),IF(F26&gt;VALUE("21:00"),"1:15","1:00"),"0:45"),0)))</f>
        <v/>
      </c>
      <c r="H26" s="333">
        <f>IF(G26="","",F26-E26-G26)</f>
        <v/>
      </c>
      <c r="I26" s="334" t="n"/>
      <c r="J26" s="335" t="n"/>
      <c r="K26" s="335" t="n"/>
      <c r="L26" s="335" t="n"/>
      <c r="M26" s="335" t="n"/>
      <c r="N26" s="335" t="n"/>
      <c r="O26" s="294" t="n"/>
      <c r="P26" s="65" t="n"/>
      <c r="Q26" s="48" t="n"/>
      <c r="R26" s="23" t="n"/>
    </row>
    <row r="27" ht="30" customHeight="1" s="235">
      <c r="A27" s="25" t="n"/>
      <c r="B27" s="328">
        <f>B26+1</f>
        <v/>
      </c>
      <c r="C27" s="329">
        <f>B27</f>
        <v/>
      </c>
      <c r="D27" s="20">
        <f>IF(Q27="勤務","勤務",IF(OR(WEEKDAY(B27)=1,WEEKDAY(B27)=7,C27="日",Q27="祝日",Q27="特休",Q27="代休",Q27="休み"),"休日",IF(C27="","","勤務")))</f>
        <v/>
      </c>
      <c r="E27" s="330" t="n"/>
      <c r="F27" s="331" t="n"/>
      <c r="G27" s="332">
        <f>IF(F27="","",IF(F27=":","",IF(F27&gt;=VALUE("13:15"),IF(F27&gt;VALUE("17:45"),IF(F27&gt;VALUE("21:00"),"1:15","1:00"),"0:45"),0)))</f>
        <v/>
      </c>
      <c r="H27" s="333">
        <f>IF(G27="","",F27-E27-G27)</f>
        <v/>
      </c>
      <c r="I27" s="334" t="n"/>
      <c r="J27" s="335" t="n"/>
      <c r="K27" s="335" t="n"/>
      <c r="L27" s="335" t="n"/>
      <c r="M27" s="335" t="n"/>
      <c r="N27" s="335" t="n"/>
      <c r="O27" s="294" t="n"/>
      <c r="P27" s="65" t="n"/>
      <c r="Q27" s="48" t="n"/>
    </row>
    <row r="28" ht="30" customHeight="1" s="235">
      <c r="A28" s="25" t="n"/>
      <c r="B28" s="328">
        <f>B27+1</f>
        <v/>
      </c>
      <c r="C28" s="329">
        <f>B28</f>
        <v/>
      </c>
      <c r="D28" s="20">
        <f>IF(Q28="勤務","勤務",IF(OR(WEEKDAY(B28)=1,WEEKDAY(B28)=7,C28="日",Q28="祝日",Q28="特休",Q28="代休",Q28="休み"),"休日",IF(C28="","","勤務")))</f>
        <v/>
      </c>
      <c r="E28" s="330" t="n"/>
      <c r="F28" s="331" t="n"/>
      <c r="G28" s="332">
        <f>IF(F28="","",IF(F28=":","",IF(F28&gt;=VALUE("13:15"),IF(F28&gt;VALUE("17:45"),IF(F28&gt;VALUE("21:00"),"1:15","1:00"),"0:45"),0)))</f>
        <v/>
      </c>
      <c r="H28" s="333">
        <f>IF(G28="","",F28-E28-G28)</f>
        <v/>
      </c>
      <c r="I28" s="334" t="n"/>
      <c r="J28" s="335" t="n"/>
      <c r="K28" s="335" t="n"/>
      <c r="L28" s="335" t="n"/>
      <c r="M28" s="335" t="n"/>
      <c r="N28" s="335" t="n"/>
      <c r="O28" s="294" t="n"/>
      <c r="P28" s="65" t="n"/>
      <c r="Q28" s="48" t="n"/>
    </row>
    <row r="29" ht="30" customHeight="1" s="235">
      <c r="A29" s="25" t="n"/>
      <c r="B29" s="336">
        <f>B28+1</f>
        <v/>
      </c>
      <c r="C29" s="337">
        <f>B29</f>
        <v/>
      </c>
      <c r="D29" s="20">
        <f>IF(Q29="勤務","勤務",IF(OR(WEEKDAY(B29)=1,WEEKDAY(B29)=7,C29="日",Q29="祝日",Q29="特休",Q29="代休",Q29="休み"),"休日",IF(C29="","","勤務")))</f>
        <v/>
      </c>
      <c r="E29" s="330" t="n"/>
      <c r="F29" s="331" t="n"/>
      <c r="G29" s="332">
        <f>IF(F29="","",IF(F29=":","",IF(F29&gt;=VALUE("13:15"),IF(F29&gt;VALUE("17:45"),IF(F29&gt;VALUE("21:00"),"1:15","1:00"),"0:45"),0)))</f>
        <v/>
      </c>
      <c r="H29" s="333">
        <f>IF(G29="","",F29-E29-G29)</f>
        <v/>
      </c>
      <c r="I29" s="334" t="n"/>
      <c r="J29" s="335" t="n"/>
      <c r="K29" s="335" t="n"/>
      <c r="L29" s="335" t="n"/>
      <c r="M29" s="335" t="n"/>
      <c r="N29" s="335" t="n"/>
      <c r="O29" s="294" t="n"/>
      <c r="P29" s="65" t="n"/>
      <c r="Q29" s="48" t="inlineStr">
        <is>
          <t>休み</t>
        </is>
      </c>
    </row>
    <row r="30" ht="30" customHeight="1" s="235">
      <c r="A30" s="25" t="n"/>
      <c r="B30" s="328">
        <f>B29+1</f>
        <v/>
      </c>
      <c r="C30" s="329">
        <f>B30</f>
        <v/>
      </c>
      <c r="D30" s="20">
        <f>IF(Q30="勤務","勤務",IF(OR(WEEKDAY(B30)=1,WEEKDAY(B30)=7,C30="日",Q30="祝日",Q30="特休",Q30="代休",Q30="休み"),"休日",IF(C30="","","勤務")))</f>
        <v/>
      </c>
      <c r="E30" s="330" t="n"/>
      <c r="F30" s="331" t="n"/>
      <c r="G30" s="332">
        <f>IF(F30="","",IF(F30=":","",IF(F30&gt;=VALUE("13:15"),IF(F30&gt;VALUE("17:45"),IF(F30&gt;VALUE("21:00"),"1:15","1:00"),"0:45"),0)))</f>
        <v/>
      </c>
      <c r="H30" s="333">
        <f>IF(G30="","",F30-E30-G30)</f>
        <v/>
      </c>
      <c r="I30" s="334" t="n"/>
      <c r="J30" s="335" t="n"/>
      <c r="K30" s="335" t="n"/>
      <c r="L30" s="335" t="n"/>
      <c r="M30" s="335" t="n"/>
      <c r="N30" s="335" t="n"/>
      <c r="O30" s="294" t="n"/>
      <c r="P30" s="65" t="n"/>
      <c r="Q30" s="48" t="inlineStr">
        <is>
          <t>祝日</t>
        </is>
      </c>
      <c r="S30" s="23" t="n"/>
    </row>
    <row r="31" ht="30" customHeight="1" s="235">
      <c r="A31" s="25" t="n"/>
      <c r="B31" s="328">
        <f>B30+1</f>
        <v/>
      </c>
      <c r="C31" s="329">
        <f>B31</f>
        <v/>
      </c>
      <c r="D31" s="20">
        <f>IF(Q31="勤務","勤務",IF(OR(WEEKDAY(B31)=1,WEEKDAY(B31)=7,C31="日",Q31="祝日",Q31="特休",Q31="代休",Q31="休み"),"休日",IF(C31="","","勤務")))</f>
        <v/>
      </c>
      <c r="E31" s="330" t="n"/>
      <c r="F31" s="331" t="n"/>
      <c r="G31" s="332">
        <f>IF(F31="","",IF(F31=":","",IF(F31&gt;=VALUE("13:15"),IF(F31&gt;VALUE("17:45"),IF(F31&gt;VALUE("21:00"),"1:15","1:00"),"0:45"),0)))</f>
        <v/>
      </c>
      <c r="H31" s="333">
        <f>IF(G31="","",F31-E31-G31)</f>
        <v/>
      </c>
      <c r="I31" s="334" t="n"/>
      <c r="J31" s="335" t="n"/>
      <c r="K31" s="335" t="n"/>
      <c r="L31" s="335" t="n"/>
      <c r="M31" s="335" t="n"/>
      <c r="N31" s="335" t="n"/>
      <c r="O31" s="294" t="n"/>
      <c r="P31" s="65" t="n"/>
      <c r="Q31" s="48" t="n"/>
    </row>
    <row r="32" ht="30" customHeight="1" s="235">
      <c r="A32" s="25" t="n"/>
      <c r="B32" s="336">
        <f>B31+1</f>
        <v/>
      </c>
      <c r="C32" s="337">
        <f>B32</f>
        <v/>
      </c>
      <c r="D32" s="20">
        <f>IF(Q32="勤務","勤務",IF(OR(WEEKDAY(B32)=1,WEEKDAY(B32)=7,C32="日",Q32="祝日",Q32="特休",Q32="代休",Q32="休み"),"休日",IF(C32="","","勤務")))</f>
        <v/>
      </c>
      <c r="E32" s="330" t="n"/>
      <c r="F32" s="331" t="n"/>
      <c r="G32" s="332">
        <f>IF(F32="","",IF(F32=":","",IF(F32&gt;=VALUE("13:15"),IF(F32&gt;VALUE("17:45"),IF(F32&gt;VALUE("21:00"),"1:15","1:00"),"0:45"),0)))</f>
        <v/>
      </c>
      <c r="H32" s="333">
        <f>IF(G32="","",F32-E32-G32)</f>
        <v/>
      </c>
      <c r="I32" s="334" t="n"/>
      <c r="J32" s="335" t="n"/>
      <c r="K32" s="335" t="n"/>
      <c r="L32" s="335" t="n"/>
      <c r="M32" s="335" t="n"/>
      <c r="N32" s="335" t="n"/>
      <c r="O32" s="294" t="n"/>
      <c r="P32" s="65" t="n"/>
      <c r="Q32" s="48" t="n"/>
    </row>
    <row r="33" ht="30" customHeight="1" s="235">
      <c r="A33" s="25" t="n"/>
      <c r="B33" s="328">
        <f>B32+1</f>
        <v/>
      </c>
      <c r="C33" s="329">
        <f>B33</f>
        <v/>
      </c>
      <c r="D33" s="20">
        <f>IF(Q33="勤務","勤務",IF(OR(WEEKDAY(B33)=1,WEEKDAY(B33)=7,C33="日",Q33="祝日",Q33="特休",Q33="代休",Q33="休み"),"休日",IF(C33="","","勤務")))</f>
        <v/>
      </c>
      <c r="E33" s="330" t="n"/>
      <c r="F33" s="331" t="n"/>
      <c r="G33" s="332">
        <f>IF(F33="","",IF(F33=":","",IF(F33&gt;=VALUE("13:15"),IF(F33&gt;VALUE("17:45"),IF(F33&gt;VALUE("21:00"),"1:15","1:00"),"0:45"),0)))</f>
        <v/>
      </c>
      <c r="H33" s="333">
        <f>IF(G33="","",F33-E33-G33)</f>
        <v/>
      </c>
      <c r="I33" s="334" t="n"/>
      <c r="J33" s="335" t="n"/>
      <c r="K33" s="335" t="n"/>
      <c r="L33" s="335" t="n"/>
      <c r="M33" s="335" t="n"/>
      <c r="N33" s="335" t="n"/>
      <c r="O33" s="294" t="n"/>
      <c r="P33" s="65" t="n"/>
      <c r="Q33" s="49" t="n"/>
    </row>
    <row r="34" ht="30" customHeight="1" s="235">
      <c r="A34" s="25" t="n"/>
      <c r="B34" s="328">
        <f>B33+1</f>
        <v/>
      </c>
      <c r="C34" s="329">
        <f>B34</f>
        <v/>
      </c>
      <c r="D34" s="20">
        <f>IF(Q34="勤務","勤務",IF(OR(WEEKDAY(B34)=1,WEEKDAY(B34)=7,C34="日",Q34="祝日",Q34="特休",Q34="代休",Q34="休み"),"休日",IF(C34="","","勤務")))</f>
        <v/>
      </c>
      <c r="E34" s="330" t="n"/>
      <c r="F34" s="331" t="n"/>
      <c r="G34" s="332">
        <f>IF(F34="","",IF(F34=":","",IF(F34&gt;=VALUE("13:15"),IF(F34&gt;VALUE("17:45"),IF(F34&gt;VALUE("21:00"),"1:15","1:00"),"0:45"),0)))</f>
        <v/>
      </c>
      <c r="H34" s="333">
        <f>IF(G34="","",F34-E34-G34)</f>
        <v/>
      </c>
      <c r="I34" s="334" t="n"/>
      <c r="J34" s="335" t="n"/>
      <c r="K34" s="335" t="n"/>
      <c r="L34" s="335" t="n"/>
      <c r="M34" s="335" t="n"/>
      <c r="N34" s="335" t="n"/>
      <c r="O34" s="294" t="n"/>
      <c r="P34" s="65" t="n"/>
      <c r="Q34" s="48" t="n"/>
    </row>
    <row r="35" ht="30" customHeight="1" s="235">
      <c r="A35" s="25" t="n"/>
      <c r="B35" s="328">
        <f>B34+1</f>
        <v/>
      </c>
      <c r="C35" s="329">
        <f>B35</f>
        <v/>
      </c>
      <c r="D35" s="20">
        <f>IF(Q35="勤務","勤務",IF(OR(WEEKDAY(B35)=1,WEEKDAY(B35)=7,C35="日",Q35="祝日",Q35="特休",Q35="代休",Q35="休み"),"休日",IF(C35="","","勤務")))</f>
        <v/>
      </c>
      <c r="E35" s="330" t="n"/>
      <c r="F35" s="331" t="n"/>
      <c r="G35" s="332">
        <f>IF(F35="","",IF(F35=":","",IF(F35&gt;=VALUE("13:15"),IF(F35&gt;VALUE("17:45"),IF(F35&gt;VALUE("21:00"),"1:15","1:00"),"0:45"),0)))</f>
        <v/>
      </c>
      <c r="H35" s="333">
        <f>IF(G35="","",F35-E35-G35)</f>
        <v/>
      </c>
      <c r="I35" s="334" t="n"/>
      <c r="J35" s="335" t="n"/>
      <c r="K35" s="335" t="n"/>
      <c r="L35" s="335" t="n"/>
      <c r="M35" s="335" t="n"/>
      <c r="N35" s="335" t="n"/>
      <c r="O35" s="294" t="n"/>
      <c r="P35" s="65" t="n"/>
      <c r="Q35" s="48" t="n"/>
    </row>
    <row r="36" ht="30" customHeight="1" s="235">
      <c r="A36" s="25" t="n"/>
      <c r="B36" s="328">
        <f>IF(DAY(B35+1) &lt; 5,"",B35+1)</f>
        <v/>
      </c>
      <c r="C36" s="329">
        <f>B36</f>
        <v/>
      </c>
      <c r="D36" s="20">
        <f>IF(B36="","",IF(Q36="勤務","勤務",IF(OR(WEEKDAY(B36)=1,WEEKDAY(B36)=7,C36="日",Q36="祝日",Q36="特休",Q36="代休",Q36="休み"),"休日",IF(C36="","","勤務"))))</f>
        <v/>
      </c>
      <c r="E36" s="330" t="n"/>
      <c r="F36" s="331" t="n"/>
      <c r="G36" s="332">
        <f>IF(F36="","",IF(F36=":","",IF(F36&gt;=VALUE("13:15"),IF(F36&gt;VALUE("17:45"),IF(F36&gt;VALUE("21:00"),"1:15","1:00"),"0:45"),0)))</f>
        <v/>
      </c>
      <c r="H36" s="333">
        <f>IF(G36="","",F36-E36-G36)</f>
        <v/>
      </c>
      <c r="I36" s="334" t="n"/>
      <c r="J36" s="335" t="n"/>
      <c r="K36" s="335" t="n"/>
      <c r="L36" s="335" t="n"/>
      <c r="M36" s="335" t="n"/>
      <c r="N36" s="335" t="n"/>
      <c r="O36" s="294" t="n"/>
      <c r="P36" s="65" t="n"/>
      <c r="Q36" s="48" t="n"/>
    </row>
    <row r="37" ht="30" customHeight="1" s="235">
      <c r="A37" s="25" t="n"/>
      <c r="B37" s="328">
        <f>IF(B36="","",IF(DAY(B36+1) &lt; 5,"",B36+1))</f>
        <v/>
      </c>
      <c r="C37" s="329">
        <f>B37</f>
        <v/>
      </c>
      <c r="D37" s="20">
        <f>IF(B37="","",IF(Q37="勤務","勤務",IF(OR(WEEKDAY(B37)=1,WEEKDAY(B37)=7,C37="日",Q37="祝日",Q37="特休",Q37="代休",Q37="休み"),"休日",IF(C37="","","勤務"))))</f>
        <v/>
      </c>
      <c r="E37" s="330" t="n"/>
      <c r="F37" s="331" t="n"/>
      <c r="G37" s="332">
        <f>IF(F37="","",IF(F37=":","",IF(F37&gt;=VALUE("13:15"),IF(F37&gt;VALUE("17:45"),IF(F37&gt;VALUE("21:00"),"1:15","1:00"),"0:45"),0)))</f>
        <v/>
      </c>
      <c r="H37" s="333">
        <f>IF(G37="","",F37-E37-G37)</f>
        <v/>
      </c>
      <c r="I37" s="334" t="n"/>
      <c r="J37" s="335" t="n"/>
      <c r="K37" s="335" t="n"/>
      <c r="L37" s="335" t="n"/>
      <c r="M37" s="335" t="n"/>
      <c r="N37" s="335" t="n"/>
      <c r="O37" s="294" t="n"/>
      <c r="P37" s="65" t="n"/>
      <c r="Q37" s="48" t="n"/>
    </row>
    <row r="38" ht="30" customHeight="1" s="235" thickBot="1">
      <c r="A38" s="25" t="n"/>
      <c r="B38" s="328">
        <f>IF(B37="","",IF(DAY(B37+1) &lt; 5,"",B37+1))</f>
        <v/>
      </c>
      <c r="C38" s="329">
        <f>B38</f>
        <v/>
      </c>
      <c r="D38" s="339">
        <f>IF(B38="","",IF(Q38="勤務","勤務",IF(OR(WEEKDAY(B38)=1,WEEKDAY(B38)=7,C38="日",Q38="祝日",Q38="特休",Q38="代休",Q38="休み"),"休日",IF(C38="","","勤務"))))</f>
        <v/>
      </c>
      <c r="E38" s="330" t="n"/>
      <c r="F38" s="331" t="n"/>
      <c r="G38" s="332">
        <f>IF(F38="","",IF(F38=":","",IF(F38&gt;=VALUE("13:15"),IF(F38&gt;VALUE("17:45"),IF(F38&gt;VALUE("21:00"),"1:15","1:00"),"0:45"),0)))</f>
        <v/>
      </c>
      <c r="H38" s="333">
        <f>IF(G38="","",F38-E38-G38)</f>
        <v/>
      </c>
      <c r="I38" s="334" t="n"/>
      <c r="J38" s="335" t="n"/>
      <c r="K38" s="335" t="n"/>
      <c r="L38" s="335" t="n"/>
      <c r="M38" s="335" t="n"/>
      <c r="N38" s="335" t="n"/>
      <c r="O38" s="294" t="n"/>
      <c r="P38" s="66" t="n"/>
      <c r="Q38" s="48" t="n"/>
    </row>
    <row r="39" ht="22.5" customHeight="1" s="235">
      <c r="A39" s="30" t="n"/>
      <c r="B39" s="43" t="inlineStr">
        <is>
          <t>【備　考】</t>
        </is>
      </c>
      <c r="C39" s="31" t="n"/>
      <c r="D39" s="50" t="n"/>
      <c r="E39" s="50" t="n"/>
      <c r="F39" s="50" t="n"/>
      <c r="G39" s="51" t="n"/>
      <c r="H39" s="340" t="n"/>
      <c r="I39" s="340" t="n"/>
      <c r="J39" s="53" t="n"/>
      <c r="K39" s="53" t="n"/>
      <c r="L39" s="53" t="n"/>
      <c r="M39" s="53" t="n"/>
      <c r="N39" s="53" t="n"/>
      <c r="O39" s="53" t="n"/>
      <c r="P39" s="54" t="n"/>
      <c r="Q39" s="16" t="n"/>
    </row>
    <row r="40" ht="22.5" customHeight="1" s="235" thickBot="1">
      <c r="A40" s="32" t="n"/>
      <c r="B40" s="33" t="n"/>
      <c r="C40" s="33" t="n"/>
      <c r="D40" s="55" t="n"/>
      <c r="E40" s="56" t="n"/>
      <c r="F40" s="55" t="n"/>
      <c r="G40" s="341" t="n"/>
      <c r="H40" s="342" t="n"/>
      <c r="I40" s="343" t="n"/>
      <c r="J40" s="60" t="n"/>
      <c r="K40" s="60" t="n"/>
      <c r="L40" s="60" t="n"/>
      <c r="M40" s="60" t="n"/>
      <c r="N40" s="60" t="n"/>
      <c r="O40" s="60" t="n"/>
      <c r="P40" s="61" t="n"/>
      <c r="Q40" s="16" t="n"/>
    </row>
    <row r="41" ht="22.05" customHeight="1" s="235">
      <c r="D41" s="5" t="n"/>
      <c r="E41" s="5" t="n"/>
      <c r="F41" s="5" t="n"/>
      <c r="G41" s="344" t="n"/>
      <c r="H41" s="345" t="n"/>
      <c r="I41" s="345" t="n"/>
      <c r="Q41" s="16" t="n"/>
    </row>
    <row r="46">
      <c r="R46" s="36" t="n"/>
      <c r="S46" s="36" t="n"/>
      <c r="T46" s="36" t="n"/>
      <c r="U46" s="36" t="n"/>
      <c r="V46" s="36" t="n"/>
    </row>
    <row r="47">
      <c r="H47" s="37" t="n"/>
      <c r="I47" s="37" t="n"/>
      <c r="R47" s="36" t="n"/>
      <c r="S47" s="36" t="n"/>
      <c r="T47" s="36" t="n"/>
      <c r="U47" s="36" t="n"/>
      <c r="V47" s="36" t="n"/>
    </row>
    <row r="48">
      <c r="H48" s="37" t="n"/>
      <c r="I48" s="37" t="n"/>
      <c r="R48" s="36" t="n"/>
      <c r="S48" s="36" t="n"/>
      <c r="T48" s="36" t="n"/>
      <c r="U48" s="36" t="n"/>
      <c r="V48" s="36" t="n"/>
    </row>
    <row r="49">
      <c r="R49" s="36" t="n"/>
      <c r="S49" s="36" t="n"/>
      <c r="T49" s="36" t="n"/>
      <c r="U49" s="36" t="n"/>
      <c r="V49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44">
    <mergeCell ref="I23:O23"/>
    <mergeCell ref="I8:O8"/>
    <mergeCell ref="I14:O14"/>
    <mergeCell ref="I17:O17"/>
    <mergeCell ref="K5:L5"/>
    <mergeCell ref="I29:O29"/>
    <mergeCell ref="N1:P1"/>
    <mergeCell ref="M5:N5"/>
    <mergeCell ref="I20:O20"/>
    <mergeCell ref="I38:O38"/>
    <mergeCell ref="I35:O35"/>
    <mergeCell ref="D5:G5"/>
    <mergeCell ref="I10:O10"/>
    <mergeCell ref="I13:O13"/>
    <mergeCell ref="I19:O19"/>
    <mergeCell ref="M2:N2"/>
    <mergeCell ref="I31:O31"/>
    <mergeCell ref="O5:P5"/>
    <mergeCell ref="I9:O9"/>
    <mergeCell ref="I30:O30"/>
    <mergeCell ref="I34:O34"/>
    <mergeCell ref="I15:O15"/>
    <mergeCell ref="I11:O11"/>
    <mergeCell ref="I27:O27"/>
    <mergeCell ref="I36:O36"/>
    <mergeCell ref="I26:O26"/>
    <mergeCell ref="K2:L2"/>
    <mergeCell ref="I7:O7"/>
    <mergeCell ref="E3:G3"/>
    <mergeCell ref="I16:O16"/>
    <mergeCell ref="I32:O32"/>
    <mergeCell ref="I25:O25"/>
    <mergeCell ref="H3:I3"/>
    <mergeCell ref="I28:O28"/>
    <mergeCell ref="G2:I2"/>
    <mergeCell ref="O2:P2"/>
    <mergeCell ref="I37:O37"/>
    <mergeCell ref="I22:O22"/>
    <mergeCell ref="I18:O18"/>
    <mergeCell ref="I21:O21"/>
    <mergeCell ref="I12:O12"/>
    <mergeCell ref="I24:O24"/>
    <mergeCell ref="I33:O33"/>
    <mergeCell ref="D4:G4"/>
  </mergeCells>
  <conditionalFormatting sqref="B8:P38">
    <cfRule type="expression" priority="1" dxfId="2" stopIfTrue="1">
      <formula>OR($D8="休日")</formula>
    </cfRule>
  </conditionalFormatting>
  <conditionalFormatting sqref="C8:D38">
    <cfRule type="expression" priority="171" dxfId="1" stopIfTrue="1">
      <formula>OR($D8="休日")</formula>
    </cfRule>
  </conditionalFormatting>
  <conditionalFormatting sqref="D8:D38">
    <cfRule type="cellIs" priority="172" operator="equal" dxfId="0" stopIfTrue="1">
      <formula>"勤務"</formula>
    </cfRule>
  </conditionalFormatting>
  <pageMargins left="0.7874015748031497" right="0.1968503937007874" top="0.3543307086614174" bottom="0.3543307086614174" header="0.1968503937007874" footer="0.1181102362204725"/>
  <pageSetup orientation="portrait" paperSize="9" scale="63"/>
  <headerFooter alignWithMargins="0">
    <oddHeader/>
    <oddFooter>&amp;R株式会社　ゼクシス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G25"/>
  <sheetViews>
    <sheetView zoomScale="145" zoomScaleNormal="145" workbookViewId="0">
      <selection activeCell="C3" sqref="C3"/>
    </sheetView>
  </sheetViews>
  <sheetFormatPr baseColWidth="8" defaultColWidth="8.77734375" defaultRowHeight="13.2"/>
  <cols>
    <col width="10.77734375" customWidth="1" style="235" min="2" max="2"/>
    <col width="21.6640625" bestFit="1" customWidth="1" style="235" min="5" max="6"/>
    <col width="3.44140625" bestFit="1" customWidth="1" style="235" min="7" max="7"/>
    <col width="5.109375" customWidth="1" style="235" min="8" max="9"/>
    <col width="10.33203125" customWidth="1" style="235" min="10" max="11"/>
  </cols>
  <sheetData>
    <row r="1">
      <c r="A1" s="229" t="inlineStr">
        <is>
          <t>就業</t>
        </is>
      </c>
      <c r="B1" s="229" t="inlineStr">
        <is>
          <t>開 始</t>
        </is>
      </c>
      <c r="C1" s="68" t="n">
        <v>0.375</v>
      </c>
      <c r="E1" s="0" t="inlineStr">
        <is>
          <t>国民の祝日・休日月日</t>
        </is>
      </c>
      <c r="F1" s="0" t="inlineStr">
        <is>
          <t>国民の祝日・休日名称</t>
        </is>
      </c>
      <c r="G1" s="0" t="inlineStr">
        <is>
          <t>曜</t>
        </is>
      </c>
    </row>
    <row r="2">
      <c r="A2" s="346" t="n"/>
      <c r="B2" s="229" t="inlineStr">
        <is>
          <t>終 了</t>
        </is>
      </c>
      <c r="C2" s="68" t="n">
        <v>0.7395833333333334</v>
      </c>
      <c r="E2" s="69" t="n">
        <v>45124</v>
      </c>
      <c r="F2" s="0" t="inlineStr">
        <is>
          <t>海の日</t>
        </is>
      </c>
      <c r="G2" s="347">
        <f>IF(E2&lt;&gt;"",E2,"")</f>
        <v/>
      </c>
    </row>
    <row r="3">
      <c r="A3" s="229" t="inlineStr">
        <is>
          <t>昼休憩</t>
        </is>
      </c>
      <c r="B3" s="229" t="inlineStr">
        <is>
          <t>開 始</t>
        </is>
      </c>
      <c r="C3" s="68" t="n">
        <v>0.5</v>
      </c>
      <c r="E3" s="69" t="n">
        <v>45149</v>
      </c>
      <c r="F3" s="0" t="inlineStr">
        <is>
          <t>山の日</t>
        </is>
      </c>
      <c r="G3" s="347">
        <f>IF(E3&lt;&gt;"",E3,"")</f>
        <v/>
      </c>
    </row>
    <row r="4">
      <c r="A4" s="346" t="n"/>
      <c r="B4" s="229" t="inlineStr">
        <is>
          <t>終 了</t>
        </is>
      </c>
      <c r="C4" s="68" t="n">
        <v>0.53125</v>
      </c>
      <c r="E4" s="69" t="n">
        <v>45152</v>
      </c>
      <c r="F4" s="0" t="inlineStr">
        <is>
          <t>顧客(BSW)・夏季休暇</t>
        </is>
      </c>
      <c r="G4" s="347">
        <f>IF(E4&lt;&gt;"",E4,"")</f>
        <v/>
      </c>
    </row>
    <row r="5">
      <c r="A5" s="348" t="inlineStr">
        <is>
          <t>休憩時間</t>
        </is>
      </c>
      <c r="B5" s="84" t="n">
        <v>0</v>
      </c>
      <c r="C5" s="68" t="n">
        <v>0.25</v>
      </c>
      <c r="D5" s="0" t="inlineStr">
        <is>
          <t>未満</t>
        </is>
      </c>
      <c r="E5" s="69" t="n">
        <v>45153</v>
      </c>
      <c r="F5" s="0" t="inlineStr">
        <is>
          <t>顧客(BSW)・夏季休暇</t>
        </is>
      </c>
      <c r="G5" s="347">
        <f>IF(E5&lt;&gt;"",E5,"")</f>
        <v/>
      </c>
    </row>
    <row r="6">
      <c r="A6" s="349" t="n"/>
      <c r="B6" s="83" t="n">
        <v>0.03125</v>
      </c>
      <c r="C6" s="68" t="n">
        <v>0.25</v>
      </c>
      <c r="D6" s="0" t="inlineStr">
        <is>
          <t>超</t>
        </is>
      </c>
      <c r="E6" s="69" t="n">
        <v>45154</v>
      </c>
      <c r="F6" s="0" t="inlineStr">
        <is>
          <t>顧客(BSW)・夏季休暇</t>
        </is>
      </c>
      <c r="G6" s="347">
        <f>IF(E6&lt;&gt;"",E6,"")</f>
        <v/>
      </c>
    </row>
    <row r="7">
      <c r="A7" s="346" t="n"/>
      <c r="B7" s="83" t="n">
        <v>0.04166666666666666</v>
      </c>
      <c r="C7" s="68" t="n">
        <v>0.3333333333333333</v>
      </c>
      <c r="D7" s="0" t="inlineStr">
        <is>
          <t>超</t>
        </is>
      </c>
      <c r="E7" s="69" t="n">
        <v>45187</v>
      </c>
      <c r="F7" s="0" t="inlineStr">
        <is>
          <t>敬老の日</t>
        </is>
      </c>
      <c r="G7" s="347">
        <f>IF(E7&lt;&gt;"",E7,"")</f>
        <v/>
      </c>
    </row>
    <row r="8">
      <c r="E8" s="69" t="n">
        <v>45192</v>
      </c>
      <c r="F8" s="0" t="inlineStr">
        <is>
          <t>秋分の日</t>
        </is>
      </c>
      <c r="G8" s="347">
        <f>IF(E8&lt;&gt;"",E8,"")</f>
        <v/>
      </c>
    </row>
    <row r="9">
      <c r="E9" s="69" t="n">
        <v>45208</v>
      </c>
      <c r="F9" s="0" t="inlineStr">
        <is>
          <t>スポーツの日</t>
        </is>
      </c>
      <c r="G9" s="347">
        <f>IF(E9&lt;&gt;"",E9,"")</f>
        <v/>
      </c>
    </row>
    <row r="10">
      <c r="E10" s="69" t="n">
        <v>45233</v>
      </c>
      <c r="F10" s="0" t="inlineStr">
        <is>
          <t>文化の日</t>
        </is>
      </c>
      <c r="G10" s="347">
        <f>IF(E10&lt;&gt;"",E10,"")</f>
        <v/>
      </c>
    </row>
    <row r="11">
      <c r="E11" s="69" t="n">
        <v>45253</v>
      </c>
      <c r="F11" s="0" t="inlineStr">
        <is>
          <t>勤労感謝の日</t>
        </is>
      </c>
      <c r="G11" s="347">
        <f>IF(E11&lt;&gt;"",E11,"")</f>
        <v/>
      </c>
    </row>
    <row r="12">
      <c r="E12" s="69" t="n">
        <v>45288</v>
      </c>
      <c r="F12" s="0" t="inlineStr">
        <is>
          <t>顧客(BSW)年末休暇</t>
        </is>
      </c>
      <c r="G12" s="347">
        <f>IF(E12&lt;&gt;"",E12,"")</f>
        <v/>
      </c>
    </row>
    <row r="13">
      <c r="E13" s="69" t="n">
        <v>45289</v>
      </c>
      <c r="F13" s="0" t="inlineStr">
        <is>
          <t>年末休暇</t>
        </is>
      </c>
      <c r="G13" s="347">
        <f>IF(E13&lt;&gt;"",E13,"")</f>
        <v/>
      </c>
    </row>
    <row r="14">
      <c r="E14" s="69" t="n">
        <v>45292</v>
      </c>
      <c r="F14" s="0" t="inlineStr">
        <is>
          <t>元日</t>
        </is>
      </c>
      <c r="G14" s="347">
        <f>IF(E14&lt;&gt;"",E14,"")</f>
        <v/>
      </c>
    </row>
    <row r="15">
      <c r="E15" s="69" t="n">
        <v>45293</v>
      </c>
      <c r="F15" s="0" t="inlineStr">
        <is>
          <t>年始休暇</t>
        </is>
      </c>
      <c r="G15" s="347">
        <f>IF(E15&lt;&gt;"",E15,"")</f>
        <v/>
      </c>
    </row>
    <row r="16">
      <c r="E16" s="69" t="n">
        <v>45294</v>
      </c>
      <c r="F16" s="0" t="inlineStr">
        <is>
          <t>年始休暇</t>
        </is>
      </c>
      <c r="G16" s="347">
        <f>IF(E16&lt;&gt;"",E16,"")</f>
        <v/>
      </c>
    </row>
    <row r="17">
      <c r="E17" s="69" t="n">
        <v>45295</v>
      </c>
      <c r="F17" s="0" t="inlineStr">
        <is>
          <t>年始休暇</t>
        </is>
      </c>
      <c r="G17" s="347">
        <f>IF(E17&lt;&gt;"",E17,"")</f>
        <v/>
      </c>
    </row>
    <row r="18">
      <c r="E18" s="69" t="n">
        <v>45299</v>
      </c>
      <c r="F18" s="0" t="inlineStr">
        <is>
          <t>成人の日</t>
        </is>
      </c>
      <c r="G18" s="347">
        <f>IF(E18&lt;&gt;"",E18,"")</f>
        <v/>
      </c>
    </row>
    <row r="19">
      <c r="E19" s="69" t="n">
        <v>45333</v>
      </c>
      <c r="F19" s="0" t="inlineStr">
        <is>
          <t>建国記念の日</t>
        </is>
      </c>
      <c r="G19" s="347">
        <f>IF(E19&lt;&gt;"",E19,"")</f>
        <v/>
      </c>
    </row>
    <row r="20">
      <c r="E20" s="69" t="n">
        <v>45334</v>
      </c>
      <c r="F20" s="0" t="inlineStr">
        <is>
          <t>振替休日</t>
        </is>
      </c>
      <c r="G20" s="347">
        <f>IF(E20&lt;&gt;"",E20,"")</f>
        <v/>
      </c>
    </row>
    <row r="21">
      <c r="E21" s="69" t="n">
        <v>45345</v>
      </c>
      <c r="F21" s="0" t="inlineStr">
        <is>
          <t>天皇誕生日</t>
        </is>
      </c>
      <c r="G21" s="347">
        <f>IF(E21&lt;&gt;"",E21,"")</f>
        <v/>
      </c>
    </row>
    <row r="22">
      <c r="E22" s="69" t="n">
        <v>45371</v>
      </c>
      <c r="F22" s="0" t="inlineStr">
        <is>
          <t>春分の日</t>
        </is>
      </c>
      <c r="G22" s="347">
        <f>IF(E22&lt;&gt;"",E22,"")</f>
        <v/>
      </c>
    </row>
    <row r="24">
      <c r="E24" s="69" t="n"/>
      <c r="G24" s="347">
        <f>IF(E24&lt;&gt;"",E24,"")</f>
        <v/>
      </c>
    </row>
    <row r="25">
      <c r="E25" s="69" t="n"/>
      <c r="G25" s="347">
        <f>IF(E25&lt;&gt;"",E25,"")</f>
        <v/>
      </c>
    </row>
  </sheetData>
  <mergeCells count="3">
    <mergeCell ref="A3:A4"/>
    <mergeCell ref="A5:A7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全社標準PC</dc:creator>
  <dcterms:created xsi:type="dcterms:W3CDTF">2021-11-15T08:30:33Z</dcterms:created>
  <dcterms:modified xsi:type="dcterms:W3CDTF">2025-11-14T01:15:30Z</dcterms:modified>
  <cp:lastModifiedBy>白井 穂乃香</cp:lastModifiedBy>
  <cp:lastPrinted>2023-10-20T03:56:30Z</cp:lastPrinted>
</cp:coreProperties>
</file>