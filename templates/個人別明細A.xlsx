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rai.honoka\Desktop\myproject\templates\"/>
    </mc:Choice>
  </mc:AlternateContent>
  <xr:revisionPtr revIDLastSave="0" documentId="13_ncr:1_{0EAB30D5-63DD-437B-B7A5-858C39567DD7}" xr6:coauthVersionLast="47" xr6:coauthVersionMax="47" xr10:uidLastSave="{00000000-0000-0000-0000-000000000000}"/>
  <bookViews>
    <workbookView xWindow="28680" yWindow="630" windowWidth="29040" windowHeight="15720" xr2:uid="{00000000-000D-0000-FFFF-FFFF00000000}"/>
  </bookViews>
  <sheets>
    <sheet name="202310" sheetId="6" r:id="rId1"/>
    <sheet name="202310_記入要領" sheetId="7" r:id="rId2"/>
    <sheet name="202111_記入要領" sheetId="3" state="hidden" r:id="rId3"/>
    <sheet name="マスタ" sheetId="4" r:id="rId4"/>
  </sheets>
  <definedNames>
    <definedName name="_xlnm.Print_Area" localSheetId="2">'202111_記入要領'!$A$1:$T$40</definedName>
    <definedName name="_xlnm.Print_Area" localSheetId="0">'202310'!$A$1:$T$63</definedName>
    <definedName name="_xlnm.Print_Area" localSheetId="1">'202310_記入要領'!$A$1:$T$63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7" l="1"/>
  <c r="H47" i="7" s="1"/>
  <c r="G46" i="7"/>
  <c r="H46" i="7" s="1"/>
  <c r="G45" i="7"/>
  <c r="H45" i="7" s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G32" i="7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H24" i="7"/>
  <c r="G24" i="7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B17" i="7"/>
  <c r="A17" i="7" s="1"/>
  <c r="X12" i="7"/>
  <c r="X11" i="7"/>
  <c r="AB11" i="7" s="1"/>
  <c r="G48" i="7" l="1"/>
  <c r="Z11" i="7"/>
  <c r="H17" i="7"/>
  <c r="H48" i="7" s="1"/>
  <c r="B18" i="7"/>
  <c r="C17" i="7"/>
  <c r="D17" i="7" s="1"/>
  <c r="B19" i="7" l="1"/>
  <c r="C18" i="7"/>
  <c r="D18" i="7"/>
  <c r="J17" i="7"/>
  <c r="I17" i="7"/>
  <c r="L17" i="7"/>
  <c r="K17" i="7"/>
  <c r="G48" i="6"/>
  <c r="X12" i="6"/>
  <c r="I18" i="7" l="1"/>
  <c r="L18" i="7"/>
  <c r="K18" i="7"/>
  <c r="B20" i="7"/>
  <c r="C19" i="7"/>
  <c r="D19" i="7" s="1"/>
  <c r="J18" i="7" l="1"/>
  <c r="L19" i="7"/>
  <c r="K19" i="7"/>
  <c r="I19" i="7"/>
  <c r="B21" i="7"/>
  <c r="C20" i="7"/>
  <c r="D20" i="7" s="1"/>
  <c r="G14" i="4"/>
  <c r="G15" i="4"/>
  <c r="G16" i="4"/>
  <c r="G17" i="4"/>
  <c r="G18" i="4"/>
  <c r="G19" i="4"/>
  <c r="G20" i="4"/>
  <c r="G21" i="4"/>
  <c r="G22" i="4"/>
  <c r="G25" i="4"/>
  <c r="G24" i="4"/>
  <c r="G13" i="4"/>
  <c r="G12" i="4"/>
  <c r="G11" i="4"/>
  <c r="G10" i="4"/>
  <c r="G9" i="4"/>
  <c r="G8" i="4"/>
  <c r="G7" i="4"/>
  <c r="G6" i="4"/>
  <c r="G5" i="4"/>
  <c r="G4" i="4"/>
  <c r="G3" i="4"/>
  <c r="G2" i="4"/>
  <c r="K20" i="7" l="1"/>
  <c r="L20" i="7"/>
  <c r="I20" i="7"/>
  <c r="J20" i="7" s="1"/>
  <c r="J19" i="7"/>
  <c r="D21" i="7"/>
  <c r="B22" i="7"/>
  <c r="C21" i="7"/>
  <c r="I21" i="7" l="1"/>
  <c r="L21" i="7"/>
  <c r="K21" i="7"/>
  <c r="B23" i="7"/>
  <c r="C22" i="7"/>
  <c r="D22" i="7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/>
  <c r="G29" i="3"/>
  <c r="H29" i="3" s="1"/>
  <c r="G28" i="3"/>
  <c r="H28" i="3"/>
  <c r="G27" i="3"/>
  <c r="H27" i="3" s="1"/>
  <c r="G26" i="3"/>
  <c r="H26" i="3" s="1"/>
  <c r="G25" i="3"/>
  <c r="H25" i="3" s="1"/>
  <c r="G24" i="3"/>
  <c r="H24" i="3"/>
  <c r="G23" i="3"/>
  <c r="H23" i="3" s="1"/>
  <c r="G22" i="3"/>
  <c r="H22" i="3" s="1"/>
  <c r="G21" i="3"/>
  <c r="H21" i="3" s="1"/>
  <c r="G20" i="3"/>
  <c r="H20" i="3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/>
  <c r="G13" i="3"/>
  <c r="H13" i="3"/>
  <c r="G12" i="3"/>
  <c r="H12" i="3"/>
  <c r="G11" i="3"/>
  <c r="H11" i="3" s="1"/>
  <c r="G10" i="3"/>
  <c r="H10" i="3"/>
  <c r="G9" i="3"/>
  <c r="H9" i="3" s="1"/>
  <c r="G8" i="3"/>
  <c r="H8" i="3" s="1"/>
  <c r="E3" i="3"/>
  <c r="H3" i="3" s="1"/>
  <c r="I22" i="7" l="1"/>
  <c r="L22" i="7"/>
  <c r="K22" i="7"/>
  <c r="B24" i="7"/>
  <c r="C23" i="7"/>
  <c r="D23" i="7" s="1"/>
  <c r="J21" i="7"/>
  <c r="I5" i="3"/>
  <c r="B8" i="3"/>
  <c r="J22" i="7" l="1"/>
  <c r="B25" i="7"/>
  <c r="C24" i="7"/>
  <c r="D24" i="7" s="1"/>
  <c r="L23" i="7"/>
  <c r="K23" i="7"/>
  <c r="I23" i="7"/>
  <c r="J23" i="7"/>
  <c r="C8" i="3"/>
  <c r="D8" i="3" s="1"/>
  <c r="A8" i="3"/>
  <c r="B9" i="3"/>
  <c r="K24" i="7" l="1"/>
  <c r="J24" i="7"/>
  <c r="L24" i="7"/>
  <c r="I24" i="7"/>
  <c r="C25" i="7"/>
  <c r="D25" i="7" s="1"/>
  <c r="A25" i="7"/>
  <c r="B26" i="7"/>
  <c r="C9" i="3"/>
  <c r="D9" i="3"/>
  <c r="B10" i="3"/>
  <c r="I25" i="7" l="1"/>
  <c r="L25" i="7"/>
  <c r="K25" i="7"/>
  <c r="J25" i="7"/>
  <c r="A26" i="7"/>
  <c r="B27" i="7"/>
  <c r="C26" i="7"/>
  <c r="D26" i="7" s="1"/>
  <c r="B11" i="3"/>
  <c r="C10" i="3"/>
  <c r="D10" i="3" s="1"/>
  <c r="K26" i="7" l="1"/>
  <c r="L26" i="7"/>
  <c r="I26" i="7"/>
  <c r="C27" i="7"/>
  <c r="B28" i="7"/>
  <c r="D27" i="7"/>
  <c r="A27" i="7"/>
  <c r="B12" i="3"/>
  <c r="C11" i="3"/>
  <c r="D11" i="3" s="1"/>
  <c r="J26" i="7" l="1"/>
  <c r="I27" i="7"/>
  <c r="L27" i="7"/>
  <c r="K27" i="7"/>
  <c r="J27" i="7" s="1"/>
  <c r="A28" i="7"/>
  <c r="B29" i="7"/>
  <c r="C28" i="7"/>
  <c r="D28" i="7" s="1"/>
  <c r="B13" i="3"/>
  <c r="C12" i="3"/>
  <c r="D12" i="3" s="1"/>
  <c r="K28" i="7" l="1"/>
  <c r="I28" i="7"/>
  <c r="L28" i="7"/>
  <c r="B30" i="7"/>
  <c r="C29" i="7"/>
  <c r="D29" i="7" s="1"/>
  <c r="B14" i="3"/>
  <c r="C13" i="3"/>
  <c r="D13" i="3"/>
  <c r="J28" i="7" l="1"/>
  <c r="I29" i="7"/>
  <c r="L29" i="7"/>
  <c r="K29" i="7"/>
  <c r="B31" i="7"/>
  <c r="C30" i="7"/>
  <c r="D30" i="7"/>
  <c r="B15" i="3"/>
  <c r="C14" i="3"/>
  <c r="D14" i="3" s="1"/>
  <c r="J29" i="7" l="1"/>
  <c r="I30" i="7"/>
  <c r="L30" i="7"/>
  <c r="K30" i="7"/>
  <c r="J30" i="7"/>
  <c r="B32" i="7"/>
  <c r="C31" i="7"/>
  <c r="D31" i="7" s="1"/>
  <c r="B16" i="3"/>
  <c r="C15" i="3"/>
  <c r="D15" i="3"/>
  <c r="L31" i="7" l="1"/>
  <c r="K31" i="7"/>
  <c r="J31" i="7"/>
  <c r="I31" i="7"/>
  <c r="B33" i="7"/>
  <c r="D32" i="7"/>
  <c r="C32" i="7"/>
  <c r="C16" i="3"/>
  <c r="D16" i="3"/>
  <c r="B17" i="3"/>
  <c r="A16" i="3"/>
  <c r="L32" i="7" l="1"/>
  <c r="I32" i="7"/>
  <c r="J32" i="7" s="1"/>
  <c r="B34" i="7"/>
  <c r="C33" i="7"/>
  <c r="D33" i="7" s="1"/>
  <c r="A17" i="3"/>
  <c r="C17" i="3"/>
  <c r="D17" i="3"/>
  <c r="B18" i="3"/>
  <c r="B35" i="7" l="1"/>
  <c r="C34" i="7"/>
  <c r="D34" i="7" s="1"/>
  <c r="I33" i="7"/>
  <c r="L33" i="7"/>
  <c r="K33" i="7"/>
  <c r="A18" i="3"/>
  <c r="B19" i="3"/>
  <c r="C18" i="3"/>
  <c r="D18" i="3" s="1"/>
  <c r="J33" i="7" l="1"/>
  <c r="L34" i="7"/>
  <c r="K34" i="7"/>
  <c r="I34" i="7"/>
  <c r="J34" i="7" s="1"/>
  <c r="C35" i="7"/>
  <c r="D35" i="7" s="1"/>
  <c r="B36" i="7"/>
  <c r="B20" i="3"/>
  <c r="A19" i="3"/>
  <c r="C19" i="3"/>
  <c r="D19" i="3" s="1"/>
  <c r="K35" i="7" l="1"/>
  <c r="J35" i="7" s="1"/>
  <c r="L35" i="7"/>
  <c r="I35" i="7"/>
  <c r="B37" i="7"/>
  <c r="C36" i="7"/>
  <c r="D36" i="7" s="1"/>
  <c r="B21" i="3"/>
  <c r="C20" i="3"/>
  <c r="D20" i="3"/>
  <c r="I36" i="7" l="1"/>
  <c r="K36" i="7"/>
  <c r="L36" i="7"/>
  <c r="B38" i="7"/>
  <c r="C37" i="7"/>
  <c r="D37" i="7"/>
  <c r="C21" i="3"/>
  <c r="D21" i="3"/>
  <c r="B22" i="3"/>
  <c r="J36" i="7" l="1"/>
  <c r="I37" i="7"/>
  <c r="L37" i="7"/>
  <c r="K37" i="7"/>
  <c r="J37" i="7"/>
  <c r="B39" i="7"/>
  <c r="C38" i="7"/>
  <c r="D38" i="7" s="1"/>
  <c r="B23" i="3"/>
  <c r="C22" i="3"/>
  <c r="D22" i="3" s="1"/>
  <c r="L38" i="7" l="1"/>
  <c r="K38" i="7"/>
  <c r="J38" i="7"/>
  <c r="I38" i="7"/>
  <c r="B40" i="7"/>
  <c r="C39" i="7"/>
  <c r="D39" i="7" s="1"/>
  <c r="B24" i="3"/>
  <c r="C23" i="3"/>
  <c r="D23" i="3"/>
  <c r="K39" i="7" l="1"/>
  <c r="I39" i="7"/>
  <c r="L39" i="7"/>
  <c r="B41" i="7"/>
  <c r="C40" i="7"/>
  <c r="D40" i="7" s="1"/>
  <c r="B25" i="3"/>
  <c r="C24" i="3"/>
  <c r="D24" i="3" s="1"/>
  <c r="J39" i="7" l="1"/>
  <c r="I40" i="7"/>
  <c r="L40" i="7"/>
  <c r="K40" i="7"/>
  <c r="B42" i="7"/>
  <c r="C41" i="7"/>
  <c r="D41" i="7"/>
  <c r="B26" i="3"/>
  <c r="C25" i="3"/>
  <c r="D25" i="3" s="1"/>
  <c r="J40" i="7" l="1"/>
  <c r="I41" i="7"/>
  <c r="L41" i="7"/>
  <c r="K41" i="7"/>
  <c r="B43" i="7"/>
  <c r="C42" i="7"/>
  <c r="D42" i="7" s="1"/>
  <c r="B27" i="3"/>
  <c r="C26" i="3"/>
  <c r="D26" i="3" s="1"/>
  <c r="J41" i="7" l="1"/>
  <c r="L42" i="7"/>
  <c r="K42" i="7"/>
  <c r="I42" i="7"/>
  <c r="B44" i="7"/>
  <c r="C43" i="7"/>
  <c r="D43" i="7" s="1"/>
  <c r="B28" i="3"/>
  <c r="C27" i="3"/>
  <c r="D27" i="3"/>
  <c r="J42" i="7" l="1"/>
  <c r="K43" i="7"/>
  <c r="I43" i="7"/>
  <c r="L43" i="7"/>
  <c r="B45" i="7"/>
  <c r="C44" i="7"/>
  <c r="D44" i="7" s="1"/>
  <c r="B29" i="3"/>
  <c r="C28" i="3"/>
  <c r="D28" i="3" s="1"/>
  <c r="J43" i="7" l="1"/>
  <c r="B46" i="7"/>
  <c r="C45" i="7"/>
  <c r="D45" i="7"/>
  <c r="J44" i="7"/>
  <c r="I44" i="7"/>
  <c r="L44" i="7"/>
  <c r="K44" i="7"/>
  <c r="C29" i="3"/>
  <c r="D29" i="3" s="1"/>
  <c r="B30" i="3"/>
  <c r="I45" i="7" l="1"/>
  <c r="L45" i="7"/>
  <c r="K45" i="7"/>
  <c r="J45" i="7"/>
  <c r="B47" i="7"/>
  <c r="C46" i="7"/>
  <c r="D46" i="7" s="1"/>
  <c r="C30" i="3"/>
  <c r="D30" i="3"/>
  <c r="B31" i="3"/>
  <c r="L46" i="7" l="1"/>
  <c r="K46" i="7"/>
  <c r="I46" i="7"/>
  <c r="C47" i="7"/>
  <c r="D47" i="7" s="1"/>
  <c r="B32" i="3"/>
  <c r="C31" i="3"/>
  <c r="D31" i="3" s="1"/>
  <c r="J46" i="7" l="1"/>
  <c r="K47" i="7"/>
  <c r="I47" i="7"/>
  <c r="I48" i="7" s="1"/>
  <c r="L47" i="7"/>
  <c r="B33" i="3"/>
  <c r="C32" i="3"/>
  <c r="D32" i="3"/>
  <c r="S50" i="7" l="1"/>
  <c r="L48" i="7"/>
  <c r="R50" i="7"/>
  <c r="J47" i="7"/>
  <c r="J48" i="7" s="1"/>
  <c r="P50" i="7"/>
  <c r="O50" i="7"/>
  <c r="K48" i="7"/>
  <c r="I48" i="6"/>
  <c r="X11" i="6"/>
  <c r="AB11" i="6" s="1"/>
  <c r="B34" i="3"/>
  <c r="C33" i="3"/>
  <c r="D33" i="3" s="1"/>
  <c r="M50" i="7" l="1"/>
  <c r="K48" i="6"/>
  <c r="P50" i="6"/>
  <c r="O50" i="6"/>
  <c r="Z11" i="6"/>
  <c r="C34" i="3"/>
  <c r="D34" i="3" s="1"/>
  <c r="B35" i="3"/>
  <c r="B36" i="3" l="1"/>
  <c r="C35" i="3"/>
  <c r="D35" i="3" s="1"/>
  <c r="B37" i="3" l="1"/>
  <c r="D36" i="3"/>
  <c r="C36" i="3"/>
  <c r="C37" i="3" l="1"/>
  <c r="D37" i="3"/>
  <c r="B38" i="3"/>
  <c r="D38" i="3" l="1"/>
  <c r="C38" i="3"/>
  <c r="L48" i="6" l="1"/>
  <c r="R50" i="6"/>
  <c r="S50" i="6"/>
  <c r="H48" i="6"/>
  <c r="M50" i="6" l="1"/>
  <c r="J4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大江 隆彦</author>
    <author>山田 雄志</author>
  </authors>
  <commentList>
    <comment ref="A4" authorId="0" shapeId="0" xr:uid="{2CFEE05B-EA86-8143-BCFC-F22208AEB495}">
      <text>
        <r>
          <rPr>
            <b/>
            <sz val="10"/>
            <color rgb="FF000000"/>
            <rFont val="Yu Gothic UI"/>
            <family val="3"/>
            <charset val="128"/>
          </rPr>
          <t>報告月の月初の日付を入力して下さい。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　例）</t>
        </r>
        <r>
          <rPr>
            <b/>
            <sz val="10"/>
            <color rgb="FF000000"/>
            <rFont val="Yu Gothic UI"/>
            <family val="3"/>
            <charset val="128"/>
          </rPr>
          <t>2023/10/1</t>
        </r>
      </text>
    </comment>
    <comment ref="U16" authorId="1" shapeId="0" xr:uid="{00000000-0006-0000-0000-000001000000}">
      <text>
        <r>
          <rPr>
            <sz val="9"/>
            <color rgb="FF000000"/>
            <rFont val="ＭＳ Ｐゴシック"/>
            <family val="2"/>
            <charset val="128"/>
          </rPr>
          <t>休日扱いとするには、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「祝日」、または「休み」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と入力して下さい。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大江 隆彦</author>
    <author>山田 雄志</author>
  </authors>
  <commentList>
    <comment ref="A4" authorId="0" shapeId="0" xr:uid="{0B19A7AC-BE2C-45A0-BC77-903D6DC11A89}">
      <text>
        <r>
          <rPr>
            <b/>
            <sz val="10"/>
            <color rgb="FF000000"/>
            <rFont val="Yu Gothic UI"/>
            <family val="3"/>
            <charset val="128"/>
          </rPr>
          <t>報告月の月初の日付を入力して下さい。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　例）</t>
        </r>
        <r>
          <rPr>
            <b/>
            <sz val="10"/>
            <color rgb="FF000000"/>
            <rFont val="Yu Gothic UI"/>
            <family val="3"/>
            <charset val="128"/>
          </rPr>
          <t>2023/10/1</t>
        </r>
      </text>
    </comment>
    <comment ref="U16" authorId="1" shapeId="0" xr:uid="{3EB21CE2-911F-483B-A93B-3C9436831E44}">
      <text>
        <r>
          <rPr>
            <sz val="9"/>
            <color rgb="FF000000"/>
            <rFont val="ＭＳ Ｐゴシック"/>
            <family val="2"/>
            <charset val="128"/>
          </rPr>
          <t>休日扱いとするには、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「祝日」、または「休み」</t>
        </r>
        <r>
          <rPr>
            <sz val="9"/>
            <color rgb="FF000000"/>
            <rFont val="ＭＳ Ｐゴシック"/>
            <family val="2"/>
            <charset val="128"/>
          </rPr>
          <t xml:space="preserve">
</t>
        </r>
        <r>
          <rPr>
            <sz val="9"/>
            <color rgb="FF000000"/>
            <rFont val="ＭＳ Ｐゴシック"/>
            <family val="2"/>
            <charset val="128"/>
          </rPr>
          <t>と入力して下さい。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山田 雄志</author>
  </authors>
  <commentList>
    <comment ref="Q7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祝日、代休、休み
と入力すれば、休日指定になる</t>
        </r>
      </text>
    </comment>
  </commentList>
</comments>
</file>

<file path=xl/sharedStrings.xml><?xml version="1.0" encoding="utf-8"?>
<sst xmlns="http://schemas.openxmlformats.org/spreadsheetml/2006/main" count="211" uniqueCount="127">
  <si>
    <t>月</t>
  </si>
  <si>
    <t>日</t>
  </si>
  <si>
    <t>曜日</t>
  </si>
  <si>
    <t>勤務区分</t>
    <rPh sb="0" eb="2">
      <t>キンム</t>
    </rPh>
    <rPh sb="2" eb="4">
      <t>クブン</t>
    </rPh>
    <phoneticPr fontId="4"/>
  </si>
  <si>
    <t>開 始</t>
  </si>
  <si>
    <t>終 了</t>
  </si>
  <si>
    <t>休憩時間</t>
    <rPh sb="0" eb="2">
      <t>キュウケイ</t>
    </rPh>
    <rPh sb="2" eb="4">
      <t>ジカン</t>
    </rPh>
    <phoneticPr fontId="4"/>
  </si>
  <si>
    <t>勤務時間</t>
    <rPh sb="0" eb="2">
      <t>キンム</t>
    </rPh>
    <rPh sb="2" eb="4">
      <t>ジカン</t>
    </rPh>
    <phoneticPr fontId="4"/>
  </si>
  <si>
    <t>検印</t>
    <rPh sb="0" eb="2">
      <t>ケンイン</t>
    </rPh>
    <phoneticPr fontId="4"/>
  </si>
  <si>
    <t>休み</t>
    <rPh sb="0" eb="1">
      <t>ヤス</t>
    </rPh>
    <phoneticPr fontId="4"/>
  </si>
  <si>
    <t>【在宅勤務】a-MRO運用、Unicorn運用・ツール支援</t>
    <phoneticPr fontId="4"/>
  </si>
  <si>
    <t>祝日</t>
    <rPh sb="0" eb="2">
      <t>シュクジツ</t>
    </rPh>
    <phoneticPr fontId="2"/>
  </si>
  <si>
    <t>勤務実績表 兼　作業報告書</t>
    <rPh sb="0" eb="2">
      <t>キンム</t>
    </rPh>
    <rPh sb="2" eb="4">
      <t>ジッセキ</t>
    </rPh>
    <rPh sb="6" eb="7">
      <t>ケン</t>
    </rPh>
    <rPh sb="8" eb="13">
      <t>サギョウホウコクショ</t>
    </rPh>
    <phoneticPr fontId="4"/>
  </si>
  <si>
    <t>休み</t>
    <rPh sb="0" eb="1">
      <t>ヤス</t>
    </rPh>
    <phoneticPr fontId="2"/>
  </si>
  <si>
    <t>報告者</t>
    <rPh sb="0" eb="3">
      <t>ホウコクシャ</t>
    </rPh>
    <phoneticPr fontId="2"/>
  </si>
  <si>
    <t>yyyy/mm/dd</t>
    <phoneticPr fontId="2"/>
  </si>
  <si>
    <t>作業者：</t>
    <rPh sb="0" eb="3">
      <t>サギョウシャ</t>
    </rPh>
    <phoneticPr fontId="2"/>
  </si>
  <si>
    <t>合計時間</t>
    <rPh sb="0" eb="2">
      <t>ゴウケイ</t>
    </rPh>
    <rPh sb="2" eb="4">
      <t>ジカン</t>
    </rPh>
    <phoneticPr fontId="2"/>
  </si>
  <si>
    <t>ZEXIS承認者2</t>
    <rPh sb="5" eb="7">
      <t>ショウニン</t>
    </rPh>
    <rPh sb="7" eb="8">
      <t>シャ</t>
    </rPh>
    <phoneticPr fontId="2"/>
  </si>
  <si>
    <t>ZEXIS承認者1</t>
    <rPh sb="5" eb="7">
      <t>ショウニン</t>
    </rPh>
    <rPh sb="7" eb="8">
      <t>シャ</t>
    </rPh>
    <phoneticPr fontId="2"/>
  </si>
  <si>
    <t>作業内容</t>
    <rPh sb="0" eb="2">
      <t>サギョウ</t>
    </rPh>
    <rPh sb="2" eb="4">
      <t>ナイヨウ</t>
    </rPh>
    <phoneticPr fontId="4"/>
  </si>
  <si>
    <t>【備　考】</t>
    <rPh sb="1" eb="2">
      <t>ビ</t>
    </rPh>
    <rPh sb="3" eb="4">
      <t>コウ</t>
    </rPh>
    <phoneticPr fontId="2"/>
  </si>
  <si>
    <t>注文番号：B540000　　　</t>
    <rPh sb="0" eb="2">
      <t>チュウモン</t>
    </rPh>
    <rPh sb="2" eb="4">
      <t>バンゴウ</t>
    </rPh>
    <phoneticPr fontId="2"/>
  </si>
  <si>
    <t>会社名：</t>
    <rPh sb="0" eb="2">
      <t>カイシャ</t>
    </rPh>
    <phoneticPr fontId="2"/>
  </si>
  <si>
    <t>●●　●●</t>
    <phoneticPr fontId="2"/>
  </si>
  <si>
    <t>株式会社●●●●●●●●●●</t>
    <rPh sb="0" eb="4">
      <t>カ</t>
    </rPh>
    <phoneticPr fontId="2"/>
  </si>
  <si>
    <t>必須入力項目</t>
    <rPh sb="0" eb="2">
      <t>ヒッス</t>
    </rPh>
    <rPh sb="2" eb="4">
      <t>ニュウリョク</t>
    </rPh>
    <rPh sb="4" eb="6">
      <t>コウモク</t>
    </rPh>
    <phoneticPr fontId="4"/>
  </si>
  <si>
    <t>入力不可項目</t>
    <rPh sb="0" eb="2">
      <t>ニュウリョク</t>
    </rPh>
    <rPh sb="2" eb="4">
      <t>フカ</t>
    </rPh>
    <rPh sb="4" eb="6">
      <t>コウモク</t>
    </rPh>
    <phoneticPr fontId="4"/>
  </si>
  <si>
    <t>その他項目はフリー</t>
    <rPh sb="2" eb="3">
      <t>タ</t>
    </rPh>
    <rPh sb="3" eb="5">
      <t>コウモク</t>
    </rPh>
    <phoneticPr fontId="4"/>
  </si>
  <si>
    <t xml:space="preserve">  a-MRO運用、Unicorn運用・ツール支援</t>
    <phoneticPr fontId="4"/>
  </si>
  <si>
    <t>就業</t>
    <phoneticPr fontId="4"/>
  </si>
  <si>
    <t>昼休憩</t>
    <phoneticPr fontId="4"/>
  </si>
  <si>
    <t>国民の祝日・休日月日</t>
  </si>
  <si>
    <t>国民の祝日・休日名称</t>
  </si>
  <si>
    <t>標準時間</t>
    <rPh sb="0" eb="4">
      <t>ヒョウジュンジカン</t>
    </rPh>
    <phoneticPr fontId="2"/>
  </si>
  <si>
    <t>下限</t>
    <rPh sb="0" eb="2">
      <t>カゲン</t>
    </rPh>
    <phoneticPr fontId="2"/>
  </si>
  <si>
    <t>上限</t>
    <rPh sb="0" eb="2">
      <t>ジョウゲン</t>
    </rPh>
    <phoneticPr fontId="2"/>
  </si>
  <si>
    <t>海の日</t>
  </si>
  <si>
    <t>山の日</t>
  </si>
  <si>
    <t>顧客(BSW)・夏季休暇</t>
    <rPh sb="0" eb="2">
      <t>コキャク</t>
    </rPh>
    <rPh sb="8" eb="10">
      <t>カキ</t>
    </rPh>
    <phoneticPr fontId="7"/>
  </si>
  <si>
    <t>顧客(BSW)・夏季休暇</t>
  </si>
  <si>
    <t>敬老の日</t>
  </si>
  <si>
    <t>秋分の日</t>
  </si>
  <si>
    <t>スポーツの日</t>
  </si>
  <si>
    <t>文化の日</t>
  </si>
  <si>
    <t>勤労感謝の日</t>
  </si>
  <si>
    <t>顧客(BSW)年末休暇</t>
    <rPh sb="7" eb="11">
      <t>ネンマツキュウカ</t>
    </rPh>
    <phoneticPr fontId="7"/>
  </si>
  <si>
    <t>年末休暇</t>
  </si>
  <si>
    <t>元日</t>
  </si>
  <si>
    <t>成人の日</t>
  </si>
  <si>
    <t>建国記念の日</t>
  </si>
  <si>
    <t>天皇誕生日</t>
  </si>
  <si>
    <t>春分の日</t>
  </si>
  <si>
    <t>曜</t>
    <rPh sb="0" eb="1">
      <t>ヨウ</t>
    </rPh>
    <phoneticPr fontId="4"/>
  </si>
  <si>
    <t>年始休暇</t>
  </si>
  <si>
    <t>振替休日</t>
  </si>
  <si>
    <t>祝日</t>
    <rPh sb="0" eb="2">
      <t>シュクジツ</t>
    </rPh>
    <phoneticPr fontId="4"/>
  </si>
  <si>
    <t>勤務日数</t>
    <rPh sb="0" eb="4">
      <t>キンムニッスウ</t>
    </rPh>
    <phoneticPr fontId="4"/>
  </si>
  <si>
    <t>会議</t>
    <rPh sb="0" eb="2">
      <t>カイギ</t>
    </rPh>
    <phoneticPr fontId="4"/>
  </si>
  <si>
    <t>深夜勤務</t>
    <rPh sb="0" eb="2">
      <t>シンヤ</t>
    </rPh>
    <rPh sb="2" eb="4">
      <t>キンム</t>
    </rPh>
    <phoneticPr fontId="4"/>
  </si>
  <si>
    <t>開始</t>
    <rPh sb="0" eb="2">
      <t>カイシ</t>
    </rPh>
    <phoneticPr fontId="4"/>
  </si>
  <si>
    <t>終了</t>
    <rPh sb="0" eb="2">
      <t>シュウリョウ</t>
    </rPh>
    <phoneticPr fontId="4"/>
  </si>
  <si>
    <t>休憩
時間</t>
    <rPh sb="0" eb="2">
      <t>キュウケイ</t>
    </rPh>
    <rPh sb="3" eb="5">
      <t>ジカン</t>
    </rPh>
    <phoneticPr fontId="4"/>
  </si>
  <si>
    <t>担当者：</t>
    <phoneticPr fontId="2"/>
  </si>
  <si>
    <t xml:space="preserve"> 【備　考】</t>
    <phoneticPr fontId="4"/>
  </si>
  <si>
    <t>深夜
時間</t>
    <rPh sb="0" eb="2">
      <t>シンヤ</t>
    </rPh>
    <rPh sb="3" eb="5">
      <t>ジカn</t>
    </rPh>
    <phoneticPr fontId="4"/>
  </si>
  <si>
    <t>休日
時間</t>
    <rPh sb="0" eb="2">
      <t>キュウジテゥ</t>
    </rPh>
    <rPh sb="3" eb="5">
      <t>ジカn</t>
    </rPh>
    <phoneticPr fontId="4"/>
  </si>
  <si>
    <t>会社名</t>
    <rPh sb="0" eb="2">
      <t>カイシャ</t>
    </rPh>
    <rPh sb="2" eb="3">
      <t>メイ</t>
    </rPh>
    <phoneticPr fontId="4"/>
  </si>
  <si>
    <t>：　＜顧客会社名＞</t>
    <rPh sb="3" eb="5">
      <t>コキャク</t>
    </rPh>
    <rPh sb="5" eb="8">
      <t>カイシャ</t>
    </rPh>
    <phoneticPr fontId="4"/>
  </si>
  <si>
    <t>株式会社　ゼクシス</t>
    <rPh sb="0" eb="4">
      <t>カブシキガイシャ</t>
    </rPh>
    <phoneticPr fontId="4"/>
  </si>
  <si>
    <t>注文No.</t>
    <rPh sb="0" eb="2">
      <t>チュウモン</t>
    </rPh>
    <phoneticPr fontId="4"/>
  </si>
  <si>
    <t>：　</t>
    <phoneticPr fontId="4"/>
  </si>
  <si>
    <t>Hxxxxx</t>
    <phoneticPr fontId="4"/>
  </si>
  <si>
    <t>件名</t>
    <rPh sb="0" eb="1">
      <t>ケン</t>
    </rPh>
    <rPh sb="1" eb="2">
      <t>メイ</t>
    </rPh>
    <phoneticPr fontId="4"/>
  </si>
  <si>
    <t>：</t>
    <phoneticPr fontId="4"/>
  </si>
  <si>
    <t>作業期間</t>
    <rPh sb="0" eb="2">
      <t>サギョウ</t>
    </rPh>
    <rPh sb="2" eb="4">
      <t>キカン</t>
    </rPh>
    <phoneticPr fontId="4"/>
  </si>
  <si>
    <t>2023/10/1～2023/10/31</t>
    <phoneticPr fontId="4"/>
  </si>
  <si>
    <t>提出年月日</t>
    <rPh sb="0" eb="2">
      <t>テイシュツ</t>
    </rPh>
    <rPh sb="2" eb="5">
      <t>ネンガッピ</t>
    </rPh>
    <phoneticPr fontId="4"/>
  </si>
  <si>
    <t>2023</t>
    <phoneticPr fontId="4"/>
  </si>
  <si>
    <t>年</t>
    <rPh sb="0" eb="1">
      <t>ネン</t>
    </rPh>
    <phoneticPr fontId="4"/>
  </si>
  <si>
    <t>11</t>
    <phoneticPr fontId="4"/>
  </si>
  <si>
    <t>月</t>
    <rPh sb="0" eb="1">
      <t>ガツ</t>
    </rPh>
    <phoneticPr fontId="4"/>
  </si>
  <si>
    <t>1</t>
    <phoneticPr fontId="4"/>
  </si>
  <si>
    <t>日</t>
    <rPh sb="0" eb="1">
      <t>ニチ</t>
    </rPh>
    <phoneticPr fontId="4"/>
  </si>
  <si>
    <t>上記作業について確認しました。</t>
    <rPh sb="0" eb="4">
      <t>ジョウキ</t>
    </rPh>
    <rPh sb="8" eb="10">
      <t>カクニn</t>
    </rPh>
    <phoneticPr fontId="27"/>
  </si>
  <si>
    <t>ＸＸ　ＸＸ</t>
    <phoneticPr fontId="4"/>
  </si>
  <si>
    <t>4 / 4</t>
    <phoneticPr fontId="4"/>
  </si>
  <si>
    <t>下記のとおり作業時間をご報告いたします。</t>
    <rPh sb="0" eb="2">
      <t>カキ</t>
    </rPh>
    <rPh sb="6" eb="10">
      <t>サギョウ</t>
    </rPh>
    <phoneticPr fontId="4"/>
  </si>
  <si>
    <t>ご担当者名</t>
    <rPh sb="1" eb="5">
      <t>タントウシャメイ</t>
    </rPh>
    <phoneticPr fontId="27"/>
  </si>
  <si>
    <t>：　＜顧客ご担当者名＞</t>
    <phoneticPr fontId="27"/>
  </si>
  <si>
    <t>休憩時間</t>
    <rPh sb="0" eb="2">
      <t>キュウケイ</t>
    </rPh>
    <rPh sb="2" eb="4">
      <t>ジカン</t>
    </rPh>
    <phoneticPr fontId="4"/>
  </si>
  <si>
    <t>未満</t>
    <rPh sb="0" eb="2">
      <t>ミマン</t>
    </rPh>
    <phoneticPr fontId="4"/>
  </si>
  <si>
    <t>超</t>
    <rPh sb="0" eb="1">
      <t>チョウ</t>
    </rPh>
    <phoneticPr fontId="4"/>
  </si>
  <si>
    <t>標準
時間</t>
    <rPh sb="0" eb="2">
      <t>ヒョウジュン</t>
    </rPh>
    <rPh sb="3" eb="5">
      <t>ジカn</t>
    </rPh>
    <phoneticPr fontId="4"/>
  </si>
  <si>
    <t>休日</t>
    <rPh sb="0" eb="2">
      <t>キュウジツ</t>
    </rPh>
    <phoneticPr fontId="4"/>
  </si>
  <si>
    <t>深夜</t>
    <rPh sb="0" eb="2">
      <t>シンヤ</t>
    </rPh>
    <phoneticPr fontId="4"/>
  </si>
  <si>
    <t>回数</t>
    <rPh sb="0" eb="2">
      <t>カイスウ</t>
    </rPh>
    <phoneticPr fontId="4"/>
  </si>
  <si>
    <t>時間</t>
    <rPh sb="0" eb="2">
      <t>ジカン</t>
    </rPh>
    <phoneticPr fontId="4"/>
  </si>
  <si>
    <t>業務担当者：＜PL氏名＞</t>
    <phoneticPr fontId="4"/>
  </si>
  <si>
    <t>作業
時間</t>
    <rPh sb="0" eb="2">
      <t>サギョウ</t>
    </rPh>
    <rPh sb="3" eb="5">
      <t>ジカン</t>
    </rPh>
    <phoneticPr fontId="4"/>
  </si>
  <si>
    <t>標準外
時間</t>
    <rPh sb="0" eb="2">
      <t>ヒョウジュン</t>
    </rPh>
    <rPh sb="2" eb="3">
      <t>ガイ</t>
    </rPh>
    <rPh sb="4" eb="6">
      <t>ジカン</t>
    </rPh>
    <phoneticPr fontId="4"/>
  </si>
  <si>
    <t>区分</t>
    <rPh sb="0" eb="2">
      <t>クブン</t>
    </rPh>
    <phoneticPr fontId="4"/>
  </si>
  <si>
    <t>IND1-KR4057 Z Tellus IND Ehp適用およびHWリプレース対応</t>
    <phoneticPr fontId="4"/>
  </si>
  <si>
    <t>合計</t>
    <rPh sb="0" eb="2">
      <t>ゴウケイ</t>
    </rPh>
    <phoneticPr fontId="4"/>
  </si>
  <si>
    <t>検収印</t>
    <rPh sb="0" eb="3">
      <t>ケンシュウイン</t>
    </rPh>
    <phoneticPr fontId="4"/>
  </si>
  <si>
    <t>様</t>
    <rPh sb="0" eb="1">
      <t>サマ</t>
    </rPh>
    <phoneticPr fontId="4"/>
  </si>
  <si>
    <r>
      <rPr>
        <b/>
        <sz val="11"/>
        <rFont val="ＭＳ Ｐ明朝"/>
        <family val="1"/>
        <charset val="128"/>
      </rPr>
      <t>月間作業時間</t>
    </r>
    <r>
      <rPr>
        <b/>
        <sz val="10"/>
        <rFont val="ＭＳ Ｐ明朝"/>
        <family val="1"/>
        <charset val="128"/>
      </rPr>
      <t xml:space="preserve">
</t>
    </r>
    <r>
      <rPr>
        <b/>
        <sz val="9"/>
        <rFont val="ＭＳ Ｐ明朝"/>
        <family val="1"/>
        <charset val="128"/>
      </rPr>
      <t>（深夜休日含む）</t>
    </r>
    <rPh sb="0" eb="2">
      <t>ゲッカン</t>
    </rPh>
    <rPh sb="2" eb="4">
      <t>サギョウ</t>
    </rPh>
    <rPh sb="4" eb="6">
      <t>ジカン</t>
    </rPh>
    <rPh sb="8" eb="10">
      <t>シンヤ</t>
    </rPh>
    <rPh sb="10" eb="12">
      <t>キュウジツ</t>
    </rPh>
    <rPh sb="12" eb="13">
      <t>フク</t>
    </rPh>
    <phoneticPr fontId="4"/>
  </si>
  <si>
    <t>例）退勤後に22:30〜23:30の１時間、深夜対応をしたケース。
　　F列に最終時間、H列にその日の合計作業時間を手入力して下さい。
    K列の深夜時間を手入力してください。</t>
    <rPh sb="0" eb="1">
      <t>レイ</t>
    </rPh>
    <rPh sb="2" eb="4">
      <t>タイキn</t>
    </rPh>
    <rPh sb="4" eb="5">
      <t>タイシャ</t>
    </rPh>
    <rPh sb="19" eb="21">
      <t>ジカn</t>
    </rPh>
    <rPh sb="22" eb="24">
      <t>シンヤ</t>
    </rPh>
    <rPh sb="24" eb="26">
      <t>タイオウ</t>
    </rPh>
    <rPh sb="37" eb="38">
      <t>レテゥ</t>
    </rPh>
    <rPh sb="39" eb="41">
      <t>サイシュウ</t>
    </rPh>
    <rPh sb="41" eb="43">
      <t>ジカn</t>
    </rPh>
    <rPh sb="45" eb="46">
      <t>レツニ</t>
    </rPh>
    <rPh sb="51" eb="53">
      <t>ゴウケイ</t>
    </rPh>
    <rPh sb="53" eb="57">
      <t>サギョウ</t>
    </rPh>
    <rPh sb="58" eb="59">
      <t xml:space="preserve">テ </t>
    </rPh>
    <rPh sb="59" eb="61">
      <t>ニュウリョク</t>
    </rPh>
    <rPh sb="73" eb="74">
      <t>レテゥ</t>
    </rPh>
    <rPh sb="75" eb="77">
      <t>シンヤ</t>
    </rPh>
    <rPh sb="77" eb="79">
      <t>ジカn</t>
    </rPh>
    <rPh sb="80" eb="81">
      <t xml:space="preserve">テ </t>
    </rPh>
    <rPh sb="81" eb="83">
      <t>ニュウリョク</t>
    </rPh>
    <phoneticPr fontId="4"/>
  </si>
  <si>
    <t>例）退勤後に21:00〜22:00の１時間の追加作業をしたケース。
　　F列に最終時間、H列にその日の合計作業時間を手入力して下さい。</t>
    <rPh sb="0" eb="1">
      <t>レイ</t>
    </rPh>
    <rPh sb="2" eb="5">
      <t>タイキn</t>
    </rPh>
    <rPh sb="19" eb="21">
      <t>ジカn</t>
    </rPh>
    <rPh sb="22" eb="24">
      <t>ツイカ</t>
    </rPh>
    <rPh sb="24" eb="26">
      <t>サギョウ</t>
    </rPh>
    <rPh sb="58" eb="59">
      <t xml:space="preserve">テ </t>
    </rPh>
    <phoneticPr fontId="4"/>
  </si>
  <si>
    <t>例）休日出勤の場合</t>
    <rPh sb="0" eb="1">
      <t>レイ</t>
    </rPh>
    <rPh sb="2" eb="4">
      <t>キュウジツ</t>
    </rPh>
    <rPh sb="4" eb="6">
      <t>シュッキン</t>
    </rPh>
    <rPh sb="7" eb="9">
      <t>バアイ</t>
    </rPh>
    <phoneticPr fontId="4"/>
  </si>
  <si>
    <t>例）22時までの残業</t>
    <rPh sb="0" eb="1">
      <t>レイ</t>
    </rPh>
    <rPh sb="4" eb="5">
      <t>ジ</t>
    </rPh>
    <rPh sb="8" eb="10">
      <t>ザンギョウ</t>
    </rPh>
    <phoneticPr fontId="4"/>
  </si>
  <si>
    <t>例）深夜1:00までの残業</t>
    <rPh sb="0" eb="1">
      <t>レイ</t>
    </rPh>
    <rPh sb="2" eb="4">
      <t>シンヤ</t>
    </rPh>
    <rPh sb="11" eb="13">
      <t>ザンギョウ</t>
    </rPh>
    <phoneticPr fontId="4"/>
  </si>
  <si>
    <t>例）深夜3:45までの残業</t>
    <rPh sb="0" eb="1">
      <t>レイ</t>
    </rPh>
    <rPh sb="2" eb="4">
      <t>シンヤ</t>
    </rPh>
    <rPh sb="11" eb="13">
      <t>ザンギョウ</t>
    </rPh>
    <phoneticPr fontId="4"/>
  </si>
  <si>
    <t>例）午前半休の場合</t>
    <rPh sb="0" eb="1">
      <t>レイ</t>
    </rPh>
    <rPh sb="2" eb="6">
      <t>ゴゼンハンキュウ</t>
    </rPh>
    <rPh sb="7" eb="9">
      <t>バアイ</t>
    </rPh>
    <phoneticPr fontId="4"/>
  </si>
  <si>
    <t>例）午後半休の場合</t>
    <rPh sb="0" eb="1">
      <t>レイ</t>
    </rPh>
    <rPh sb="2" eb="4">
      <t>ゴゴ</t>
    </rPh>
    <rPh sb="4" eb="6">
      <t>ハンキュウ</t>
    </rPh>
    <rPh sb="7" eb="9">
      <t>バアイ</t>
    </rPh>
    <phoneticPr fontId="4"/>
  </si>
  <si>
    <t>「PLの指示によりXXXXシステム変更作業のため休日出勤」のように
コメント記載する</t>
    <rPh sb="38" eb="40">
      <t>キサイ</t>
    </rPh>
    <phoneticPr fontId="4"/>
  </si>
  <si>
    <t>例）休暇日だったが、22:00～23:00の深夜対応をした場合</t>
    <rPh sb="0" eb="1">
      <t>レイ</t>
    </rPh>
    <rPh sb="2" eb="4">
      <t>キュウカ</t>
    </rPh>
    <rPh sb="4" eb="5">
      <t>ビ</t>
    </rPh>
    <rPh sb="22" eb="26">
      <t>シンヤタイオウ</t>
    </rPh>
    <rPh sb="29" eb="31">
      <t>バアイ</t>
    </rPh>
    <phoneticPr fontId="4"/>
  </si>
  <si>
    <t>例）祝日の場合、U列に「祝日」と入力</t>
    <rPh sb="0" eb="1">
      <t>レイ</t>
    </rPh>
    <rPh sb="2" eb="4">
      <t>シュクジツ</t>
    </rPh>
    <rPh sb="5" eb="7">
      <t>バアイ</t>
    </rPh>
    <rPh sb="9" eb="10">
      <t>レツ</t>
    </rPh>
    <rPh sb="12" eb="14">
      <t>シュクジツ</t>
    </rPh>
    <rPh sb="16" eb="18">
      <t>ニュウリョク</t>
    </rPh>
    <phoneticPr fontId="4"/>
  </si>
  <si>
    <t>例）年休、代休など休暇の場合、U列に「休み」と入力</t>
    <rPh sb="0" eb="1">
      <t>レイ</t>
    </rPh>
    <rPh sb="2" eb="4">
      <t>ネンキュウ</t>
    </rPh>
    <rPh sb="5" eb="7">
      <t>ダイキュウ</t>
    </rPh>
    <rPh sb="9" eb="11">
      <t>キュウカ</t>
    </rPh>
    <rPh sb="12" eb="14">
      <t>バアイ</t>
    </rPh>
    <rPh sb="16" eb="17">
      <t>レツ</t>
    </rPh>
    <rPh sb="19" eb="20">
      <t>ヤス</t>
    </rPh>
    <rPh sb="23" eb="25">
      <t>ニュウリョク</t>
    </rPh>
    <phoneticPr fontId="4"/>
  </si>
  <si>
    <t>ＮＣＤソリューションズ株式会社</t>
    <phoneticPr fontId="4"/>
  </si>
  <si>
    <t>2024/1/1～2024/1/31</t>
    <phoneticPr fontId="4"/>
  </si>
  <si>
    <t>2024</t>
    <phoneticPr fontId="4"/>
  </si>
  <si>
    <t>2</t>
    <phoneticPr fontId="4"/>
  </si>
  <si>
    <t>15分残業のケース</t>
    <rPh sb="2" eb="3">
      <t>フン</t>
    </rPh>
    <rPh sb="3" eb="5">
      <t>ザンギョウ</t>
    </rPh>
    <phoneticPr fontId="4"/>
  </si>
  <si>
    <t>深夜対応のケース</t>
    <rPh sb="0" eb="2">
      <t>シンヤ</t>
    </rPh>
    <rPh sb="2" eb="4">
      <t>タイオウ</t>
    </rPh>
    <phoneticPr fontId="4"/>
  </si>
  <si>
    <t>早出のケース</t>
    <rPh sb="0" eb="2">
      <t>ハヤデ</t>
    </rPh>
    <phoneticPr fontId="4"/>
  </si>
  <si>
    <t>早出＋残業のケース</t>
    <rPh sb="0" eb="2">
      <t>ハヤデ</t>
    </rPh>
    <rPh sb="3" eb="5">
      <t>ザンギョウ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</si>
</sst>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.00_ "/>
    <numFmt numFmtId="177" formatCode="&quot;【&quot;yyyy&quot;年&quot;m&quot;月度】&quot;;@"/>
    <numFmt numFmtId="178" formatCode="&quot;（ &quot;yyyy&quot;年&quot;m&quot;月&quot;d&quot;日 ～ &quot;"/>
    <numFmt numFmtId="179" formatCode="yyyy&quot;年&quot;m&quot;月&quot;d&quot;日 )&quot;"/>
    <numFmt numFmtId="180" formatCode="m"/>
    <numFmt numFmtId="181" formatCode="d"/>
    <numFmt numFmtId="182" formatCode="aaa"/>
    <numFmt numFmtId="183" formatCode="[h]:mm"/>
    <numFmt numFmtId="184" formatCode="h:mm;@"/>
    <numFmt numFmtId="185" formatCode="00&quot;:&quot;00"/>
    <numFmt numFmtId="186" formatCode="0.00_);[Red]\(0.00\)"/>
    <numFmt numFmtId="187" formatCode="[Red][&gt;19]#,##0.00;[Black][&gt;0.1]#,##0.00;"/>
    <numFmt numFmtId="188" formatCode="[Black][&gt;160]#,##0.00;[Red][&gt;1]#,##0.00;"/>
    <numFmt numFmtId="189" formatCode="0_);[Red]\(0\)"/>
    <numFmt numFmtId="190" formatCode="yyyy&quot;年&quot;mm&quot;月度　実績時間報告書　個人別明細&quot;"/>
  </numFmts>
  <fonts count="3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Meiryo UI"/>
      <family val="2"/>
      <charset val="128"/>
    </font>
    <font>
      <u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2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00"/>
      <name val="ＭＳ Ｐゴシック"/>
      <family val="2"/>
      <charset val="128"/>
    </font>
    <font>
      <sz val="11"/>
      <name val="ＭＳ Ｐ明朝"/>
      <family val="1"/>
      <charset val="128"/>
    </font>
    <font>
      <b/>
      <u/>
      <sz val="18"/>
      <name val="ＭＳ Ｐ明朝"/>
      <family val="1"/>
      <charset val="128"/>
    </font>
    <font>
      <sz val="18"/>
      <name val="ＭＳ Ｐ明朝"/>
      <family val="1"/>
      <charset val="128"/>
    </font>
    <font>
      <sz val="11"/>
      <color indexed="55"/>
      <name val="ＭＳ Ｐ明朝"/>
      <family val="1"/>
      <charset val="128"/>
    </font>
    <font>
      <b/>
      <sz val="14"/>
      <color theme="0"/>
      <name val="ＭＳ Ｐゴシック"/>
      <family val="3"/>
      <charset val="128"/>
    </font>
    <font>
      <sz val="12"/>
      <color theme="0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11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sz val="12"/>
      <color indexed="10"/>
      <name val="ＭＳ Ｐ明朝"/>
      <family val="1"/>
      <charset val="128"/>
    </font>
    <font>
      <b/>
      <sz val="12"/>
      <name val="ＭＳ Ｐ明朝"/>
      <family val="1"/>
      <charset val="128"/>
    </font>
    <font>
      <sz val="12"/>
      <name val="ＭＳ Ｐ明朝"/>
      <family val="1"/>
      <charset val="128"/>
    </font>
    <font>
      <b/>
      <u/>
      <sz val="20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9"/>
      <name val="ＭＳ Ｐ明朝"/>
      <family val="1"/>
      <charset val="128"/>
    </font>
    <font>
      <b/>
      <sz val="10"/>
      <color rgb="FF000000"/>
      <name val="Yu Gothic UI"/>
      <family val="3"/>
      <charset val="128"/>
    </font>
    <font>
      <b/>
      <sz val="12"/>
      <color rgb="FFFF0000"/>
      <name val="ＭＳ 明朝"/>
      <family val="1"/>
      <charset val="128"/>
    </font>
    <font>
      <sz val="11"/>
      <color rgb="FF00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9" fillId="0" borderId="0"/>
  </cellStyleXfs>
  <cellXfs count="234">
    <xf numFmtId="0" fontId="0" fillId="0" borderId="0" xfId="0">
      <alignment vertical="center"/>
    </xf>
    <xf numFmtId="49" fontId="1" fillId="0" borderId="0" xfId="1" applyNumberFormat="1"/>
    <xf numFmtId="176" fontId="1" fillId="0" borderId="0" xfId="1" applyNumberFormat="1"/>
    <xf numFmtId="0" fontId="1" fillId="0" borderId="0" xfId="1"/>
    <xf numFmtId="0" fontId="3" fillId="0" borderId="0" xfId="1" applyFont="1" applyAlignment="1">
      <alignment vertical="center"/>
    </xf>
    <xf numFmtId="0" fontId="1" fillId="0" borderId="0" xfId="1" applyAlignment="1">
      <alignment horizontal="center"/>
    </xf>
    <xf numFmtId="177" fontId="5" fillId="0" borderId="0" xfId="1" applyNumberFormat="1" applyFont="1" applyAlignment="1">
      <alignment vertical="center"/>
    </xf>
    <xf numFmtId="177" fontId="1" fillId="0" borderId="0" xfId="1" applyNumberFormat="1"/>
    <xf numFmtId="0" fontId="0" fillId="0" borderId="0" xfId="2" applyFont="1" applyAlignment="1">
      <alignment horizontal="right" vertical="center"/>
    </xf>
    <xf numFmtId="38" fontId="6" fillId="0" borderId="0" xfId="2" applyNumberFormat="1" applyFont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180" fontId="1" fillId="0" borderId="8" xfId="1" applyNumberFormat="1" applyBorder="1" applyAlignment="1">
      <alignment horizontal="center" vertical="center"/>
    </xf>
    <xf numFmtId="181" fontId="1" fillId="0" borderId="9" xfId="1" applyNumberFormat="1" applyBorder="1" applyAlignment="1">
      <alignment horizontal="center" vertical="center"/>
    </xf>
    <xf numFmtId="182" fontId="1" fillId="0" borderId="9" xfId="1" applyNumberForma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6" fontId="8" fillId="0" borderId="11" xfId="1" applyNumberFormat="1" applyFont="1" applyBorder="1" applyAlignment="1">
      <alignment horizontal="right" vertical="center"/>
    </xf>
    <xf numFmtId="184" fontId="8" fillId="0" borderId="12" xfId="1" applyNumberFormat="1" applyFont="1" applyBorder="1" applyAlignment="1">
      <alignment horizontal="center" vertical="center"/>
    </xf>
    <xf numFmtId="0" fontId="0" fillId="0" borderId="0" xfId="1" applyFont="1"/>
    <xf numFmtId="0" fontId="7" fillId="3" borderId="9" xfId="0" applyFont="1" applyFill="1" applyBorder="1" applyAlignment="1">
      <alignment horizontal="center" vertical="center"/>
    </xf>
    <xf numFmtId="0" fontId="1" fillId="0" borderId="8" xfId="1" applyBorder="1" applyAlignment="1">
      <alignment vertical="center"/>
    </xf>
    <xf numFmtId="181" fontId="1" fillId="3" borderId="9" xfId="1" applyNumberFormat="1" applyFill="1" applyBorder="1" applyAlignment="1">
      <alignment horizontal="center" vertical="center"/>
    </xf>
    <xf numFmtId="182" fontId="11" fillId="3" borderId="9" xfId="1" applyNumberFormat="1" applyFont="1" applyFill="1" applyBorder="1" applyAlignment="1">
      <alignment horizontal="center" vertical="center"/>
    </xf>
    <xf numFmtId="182" fontId="1" fillId="3" borderId="9" xfId="1" applyNumberFormat="1" applyFill="1" applyBorder="1" applyAlignment="1">
      <alignment horizontal="center" vertical="center"/>
    </xf>
    <xf numFmtId="185" fontId="6" fillId="0" borderId="9" xfId="1" applyNumberFormat="1" applyFont="1" applyBorder="1" applyAlignment="1">
      <alignment horizontal="center" vertical="center"/>
    </xf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187" fontId="1" fillId="0" borderId="0" xfId="1" applyNumberFormat="1" applyAlignment="1">
      <alignment horizontal="center" vertical="top"/>
    </xf>
    <xf numFmtId="188" fontId="1" fillId="0" borderId="0" xfId="1" applyNumberFormat="1" applyAlignment="1">
      <alignment horizontal="center" vertical="top"/>
    </xf>
    <xf numFmtId="3" fontId="1" fillId="0" borderId="0" xfId="1" applyNumberFormat="1"/>
    <xf numFmtId="3" fontId="1" fillId="0" borderId="0" xfId="1" applyNumberFormat="1" applyAlignment="1">
      <alignment horizontal="center"/>
    </xf>
    <xf numFmtId="0" fontId="0" fillId="0" borderId="0" xfId="2" applyFont="1" applyAlignment="1">
      <alignment horizontal="right"/>
    </xf>
    <xf numFmtId="0" fontId="17" fillId="0" borderId="0" xfId="1" applyFont="1" applyAlignment="1">
      <alignment horizontal="center"/>
    </xf>
    <xf numFmtId="0" fontId="1" fillId="0" borderId="0" xfId="1" applyAlignment="1">
      <alignment vertical="center"/>
    </xf>
    <xf numFmtId="0" fontId="0" fillId="5" borderId="1" xfId="1" applyFont="1" applyFill="1" applyBorder="1" applyAlignment="1">
      <alignment vertical="center"/>
    </xf>
    <xf numFmtId="179" fontId="6" fillId="0" borderId="0" xfId="2" applyNumberFormat="1" applyFont="1" applyAlignment="1">
      <alignment vertical="center"/>
    </xf>
    <xf numFmtId="0" fontId="0" fillId="0" borderId="18" xfId="1" applyFont="1" applyBorder="1"/>
    <xf numFmtId="184" fontId="15" fillId="0" borderId="4" xfId="1" applyNumberFormat="1" applyFont="1" applyBorder="1" applyAlignment="1">
      <alignment horizontal="center" vertical="center"/>
    </xf>
    <xf numFmtId="0" fontId="0" fillId="0" borderId="0" xfId="1" applyFont="1" applyAlignment="1">
      <alignment vertical="center"/>
    </xf>
    <xf numFmtId="183" fontId="8" fillId="0" borderId="9" xfId="1" applyNumberFormat="1" applyFont="1" applyBorder="1" applyAlignment="1" applyProtection="1">
      <alignment horizontal="center" vertical="center"/>
      <protection locked="0"/>
    </xf>
    <xf numFmtId="183" fontId="8" fillId="0" borderId="10" xfId="1" applyNumberFormat="1" applyFont="1" applyBorder="1" applyAlignment="1" applyProtection="1">
      <alignment horizontal="center" vertical="center"/>
      <protection locked="0"/>
    </xf>
    <xf numFmtId="0" fontId="0" fillId="0" borderId="0" xfId="1" applyFont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18" xfId="1" applyBorder="1" applyProtection="1">
      <protection locked="0"/>
    </xf>
    <xf numFmtId="49" fontId="1" fillId="0" borderId="18" xfId="1" applyNumberFormat="1" applyBorder="1" applyAlignment="1" applyProtection="1">
      <alignment horizontal="center" vertical="center"/>
      <protection locked="0"/>
    </xf>
    <xf numFmtId="186" fontId="1" fillId="0" borderId="18" xfId="1" applyNumberFormat="1" applyBorder="1" applyAlignment="1" applyProtection="1">
      <alignment horizontal="center" vertical="center"/>
      <protection locked="0"/>
    </xf>
    <xf numFmtId="0" fontId="15" fillId="0" borderId="18" xfId="1" applyFont="1" applyBorder="1" applyAlignment="1" applyProtection="1">
      <alignment horizontal="center" vertical="center"/>
      <protection locked="0"/>
    </xf>
    <xf numFmtId="0" fontId="1" fillId="0" borderId="24" xfId="1" applyBorder="1" applyProtection="1">
      <protection locked="0"/>
    </xf>
    <xf numFmtId="0" fontId="13" fillId="0" borderId="20" xfId="1" applyFont="1" applyBorder="1" applyAlignment="1" applyProtection="1">
      <alignment vertical="top"/>
      <protection locked="0"/>
    </xf>
    <xf numFmtId="0" fontId="1" fillId="0" borderId="20" xfId="1" applyBorder="1" applyProtection="1">
      <protection locked="0"/>
    </xf>
    <xf numFmtId="187" fontId="1" fillId="0" borderId="20" xfId="1" applyNumberFormat="1" applyBorder="1" applyAlignment="1" applyProtection="1">
      <alignment horizontal="center" vertical="top"/>
      <protection locked="0"/>
    </xf>
    <xf numFmtId="183" fontId="15" fillId="0" borderId="20" xfId="1" applyNumberFormat="1" applyFont="1" applyBorder="1" applyAlignment="1" applyProtection="1">
      <alignment horizontal="center" vertical="top"/>
      <protection locked="0"/>
    </xf>
    <xf numFmtId="188" fontId="1" fillId="0" borderId="20" xfId="1" applyNumberFormat="1" applyBorder="1" applyAlignment="1" applyProtection="1">
      <alignment horizontal="center" vertical="top"/>
      <protection locked="0"/>
    </xf>
    <xf numFmtId="0" fontId="15" fillId="0" borderId="20" xfId="1" applyFont="1" applyBorder="1" applyAlignment="1" applyProtection="1">
      <alignment horizontal="right" vertical="top"/>
      <protection locked="0"/>
    </xf>
    <xf numFmtId="0" fontId="1" fillId="0" borderId="22" xfId="1" applyBorder="1" applyProtection="1">
      <protection locked="0"/>
    </xf>
    <xf numFmtId="0" fontId="0" fillId="0" borderId="8" xfId="2" applyFont="1" applyBorder="1" applyAlignment="1" applyProtection="1">
      <alignment horizontal="right" vertical="center"/>
      <protection locked="0"/>
    </xf>
    <xf numFmtId="0" fontId="0" fillId="0" borderId="21" xfId="2" applyFont="1" applyBorder="1" applyAlignment="1" applyProtection="1">
      <alignment horizontal="right" vertical="center"/>
      <protection locked="0"/>
    </xf>
    <xf numFmtId="38" fontId="6" fillId="0" borderId="21" xfId="2" applyNumberFormat="1" applyFont="1" applyBorder="1" applyAlignment="1" applyProtection="1">
      <alignment horizontal="center" vertical="center"/>
      <protection locked="0"/>
    </xf>
    <xf numFmtId="4" fontId="10" fillId="0" borderId="12" xfId="3" applyNumberFormat="1" applyFont="1" applyBorder="1" applyAlignment="1" applyProtection="1">
      <alignment horizontal="left" vertical="center" wrapText="1"/>
      <protection locked="0"/>
    </xf>
    <xf numFmtId="4" fontId="12" fillId="0" borderId="16" xfId="3" applyNumberFormat="1" applyFont="1" applyBorder="1" applyAlignment="1" applyProtection="1">
      <alignment horizontal="left" vertical="center" wrapText="1"/>
      <protection locked="0"/>
    </xf>
    <xf numFmtId="0" fontId="1" fillId="2" borderId="9" xfId="1" applyFill="1" applyBorder="1" applyAlignment="1">
      <alignment horizontal="center" vertical="center"/>
    </xf>
    <xf numFmtId="20" fontId="0" fillId="0" borderId="9" xfId="0" applyNumberFormat="1" applyBorder="1">
      <alignment vertical="center"/>
    </xf>
    <xf numFmtId="14" fontId="0" fillId="0" borderId="0" xfId="0" applyNumberFormat="1">
      <alignment vertical="center"/>
    </xf>
    <xf numFmtId="20" fontId="1" fillId="0" borderId="0" xfId="1" applyNumberFormat="1"/>
    <xf numFmtId="182" fontId="0" fillId="0" borderId="0" xfId="0" applyNumberFormat="1">
      <alignment vertical="center"/>
    </xf>
    <xf numFmtId="0" fontId="18" fillId="0" borderId="0" xfId="1" applyFont="1"/>
    <xf numFmtId="183" fontId="1" fillId="0" borderId="0" xfId="1" applyNumberFormat="1"/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0" fillId="0" borderId="0" xfId="0" applyAlignment="1">
      <alignment horizontal="center" vertical="center"/>
    </xf>
    <xf numFmtId="20" fontId="1" fillId="5" borderId="9" xfId="1" applyNumberFormat="1" applyFill="1" applyBorder="1" applyAlignment="1">
      <alignment horizontal="center" vertical="center"/>
    </xf>
    <xf numFmtId="20" fontId="1" fillId="2" borderId="9" xfId="1" applyNumberFormat="1" applyFill="1" applyBorder="1" applyAlignment="1">
      <alignment horizontal="center" vertical="center"/>
    </xf>
    <xf numFmtId="177" fontId="24" fillId="0" borderId="0" xfId="1" applyNumberFormat="1" applyFont="1" applyAlignment="1" applyProtection="1">
      <alignment horizontal="center" vertical="center"/>
      <protection locked="0"/>
    </xf>
    <xf numFmtId="178" fontId="25" fillId="0" borderId="0" xfId="2" applyNumberFormat="1" applyFont="1" applyAlignment="1">
      <alignment horizontal="right" vertical="center"/>
    </xf>
    <xf numFmtId="179" fontId="25" fillId="0" borderId="0" xfId="2" applyNumberFormat="1" applyFont="1" applyAlignment="1">
      <alignment horizontal="left" vertical="center"/>
    </xf>
    <xf numFmtId="0" fontId="0" fillId="0" borderId="0" xfId="1" quotePrefix="1" applyFont="1" applyAlignment="1">
      <alignment horizontal="center"/>
    </xf>
    <xf numFmtId="183" fontId="8" fillId="0" borderId="42" xfId="1" applyNumberFormat="1" applyFont="1" applyBorder="1" applyAlignment="1">
      <alignment horizontal="right" vertical="center"/>
    </xf>
    <xf numFmtId="183" fontId="8" fillId="0" borderId="43" xfId="1" applyNumberFormat="1" applyFont="1" applyBorder="1" applyAlignment="1">
      <alignment horizontal="right" vertical="center"/>
    </xf>
    <xf numFmtId="183" fontId="8" fillId="0" borderId="44" xfId="1" applyNumberFormat="1" applyFont="1" applyBorder="1" applyAlignment="1">
      <alignment horizontal="right" vertical="center"/>
    </xf>
    <xf numFmtId="0" fontId="0" fillId="0" borderId="31" xfId="1" applyFont="1" applyBorder="1" applyAlignment="1">
      <alignment vertical="center"/>
    </xf>
    <xf numFmtId="0" fontId="0" fillId="0" borderId="27" xfId="1" applyFont="1" applyBorder="1" applyAlignment="1">
      <alignment vertical="center"/>
    </xf>
    <xf numFmtId="0" fontId="1" fillId="0" borderId="27" xfId="1" applyBorder="1"/>
    <xf numFmtId="0" fontId="1" fillId="0" borderId="27" xfId="1" applyBorder="1" applyProtection="1">
      <protection locked="0"/>
    </xf>
    <xf numFmtId="49" fontId="1" fillId="0" borderId="27" xfId="1" applyNumberFormat="1" applyBorder="1" applyAlignment="1" applyProtection="1">
      <alignment horizontal="center" vertical="center"/>
      <protection locked="0"/>
    </xf>
    <xf numFmtId="186" fontId="1" fillId="0" borderId="27" xfId="1" applyNumberFormat="1" applyBorder="1" applyAlignment="1" applyProtection="1">
      <alignment horizontal="center" vertical="center"/>
      <protection locked="0"/>
    </xf>
    <xf numFmtId="0" fontId="15" fillId="0" borderId="27" xfId="1" applyFont="1" applyBorder="1" applyAlignment="1" applyProtection="1">
      <alignment horizontal="center" vertical="center"/>
      <protection locked="0"/>
    </xf>
    <xf numFmtId="0" fontId="1" fillId="0" borderId="32" xfId="1" applyBorder="1" applyProtection="1">
      <protection locked="0"/>
    </xf>
    <xf numFmtId="0" fontId="1" fillId="0" borderId="10" xfId="1" applyBorder="1"/>
    <xf numFmtId="0" fontId="1" fillId="0" borderId="26" xfId="1" applyBorder="1"/>
    <xf numFmtId="0" fontId="13" fillId="0" borderId="26" xfId="1" applyFont="1" applyBorder="1" applyAlignment="1" applyProtection="1">
      <alignment vertical="top"/>
      <protection locked="0"/>
    </xf>
    <xf numFmtId="0" fontId="1" fillId="0" borderId="26" xfId="1" applyBorder="1" applyProtection="1">
      <protection locked="0"/>
    </xf>
    <xf numFmtId="187" fontId="1" fillId="0" borderId="26" xfId="1" applyNumberFormat="1" applyBorder="1" applyAlignment="1" applyProtection="1">
      <alignment horizontal="center" vertical="top"/>
      <protection locked="0"/>
    </xf>
    <xf numFmtId="183" fontId="15" fillId="0" borderId="26" xfId="1" applyNumberFormat="1" applyFont="1" applyBorder="1" applyAlignment="1" applyProtection="1">
      <alignment horizontal="center" vertical="top"/>
      <protection locked="0"/>
    </xf>
    <xf numFmtId="188" fontId="1" fillId="0" borderId="26" xfId="1" applyNumberFormat="1" applyBorder="1" applyAlignment="1" applyProtection="1">
      <alignment horizontal="center" vertical="top"/>
      <protection locked="0"/>
    </xf>
    <xf numFmtId="0" fontId="15" fillId="0" borderId="26" xfId="1" applyFont="1" applyBorder="1" applyAlignment="1" applyProtection="1">
      <alignment horizontal="right" vertical="top"/>
      <protection locked="0"/>
    </xf>
    <xf numFmtId="0" fontId="1" fillId="0" borderId="30" xfId="1" applyBorder="1" applyProtection="1">
      <protection locked="0"/>
    </xf>
    <xf numFmtId="3" fontId="8" fillId="0" borderId="42" xfId="3" applyNumberFormat="1" applyFont="1" applyBorder="1" applyAlignment="1" applyProtection="1">
      <alignment horizontal="center" vertical="center" wrapText="1"/>
      <protection locked="0"/>
    </xf>
    <xf numFmtId="183" fontId="8" fillId="0" borderId="46" xfId="1" applyNumberFormat="1" applyFont="1" applyBorder="1" applyAlignment="1" applyProtection="1">
      <alignment horizontal="right" vertical="center"/>
      <protection locked="0"/>
    </xf>
    <xf numFmtId="183" fontId="8" fillId="0" borderId="47" xfId="1" applyNumberFormat="1" applyFont="1" applyBorder="1" applyAlignment="1" applyProtection="1">
      <alignment horizontal="right" vertical="center"/>
      <protection locked="0"/>
    </xf>
    <xf numFmtId="183" fontId="8" fillId="0" borderId="52" xfId="1" applyNumberFormat="1" applyFont="1" applyBorder="1" applyAlignment="1" applyProtection="1">
      <alignment horizontal="right" vertical="center"/>
      <protection locked="0"/>
    </xf>
    <xf numFmtId="183" fontId="8" fillId="0" borderId="53" xfId="1" applyNumberFormat="1" applyFont="1" applyBorder="1" applyAlignment="1" applyProtection="1">
      <alignment horizontal="right" vertical="center"/>
      <protection locked="0"/>
    </xf>
    <xf numFmtId="183" fontId="8" fillId="0" borderId="49" xfId="1" applyNumberFormat="1" applyFont="1" applyBorder="1" applyAlignment="1" applyProtection="1">
      <alignment horizontal="right" vertical="center"/>
      <protection locked="0"/>
    </xf>
    <xf numFmtId="183" fontId="8" fillId="0" borderId="50" xfId="1" applyNumberFormat="1" applyFont="1" applyBorder="1" applyAlignment="1" applyProtection="1">
      <alignment horizontal="right" vertical="center"/>
      <protection locked="0"/>
    </xf>
    <xf numFmtId="184" fontId="8" fillId="0" borderId="45" xfId="1" applyNumberFormat="1" applyFont="1" applyBorder="1" applyAlignment="1">
      <alignment horizontal="right" vertical="center"/>
    </xf>
    <xf numFmtId="184" fontId="8" fillId="0" borderId="47" xfId="1" applyNumberFormat="1" applyFont="1" applyBorder="1" applyAlignment="1">
      <alignment horizontal="right" vertical="center"/>
    </xf>
    <xf numFmtId="184" fontId="8" fillId="0" borderId="51" xfId="1" applyNumberFormat="1" applyFont="1" applyBorder="1" applyAlignment="1">
      <alignment horizontal="right" vertical="center" wrapText="1"/>
    </xf>
    <xf numFmtId="184" fontId="8" fillId="0" borderId="53" xfId="1" applyNumberFormat="1" applyFont="1" applyBorder="1" applyAlignment="1">
      <alignment horizontal="right" vertical="center"/>
    </xf>
    <xf numFmtId="184" fontId="8" fillId="0" borderId="51" xfId="1" applyNumberFormat="1" applyFont="1" applyBorder="1" applyAlignment="1">
      <alignment horizontal="right" vertical="center"/>
    </xf>
    <xf numFmtId="184" fontId="8" fillId="0" borderId="48" xfId="1" applyNumberFormat="1" applyFont="1" applyBorder="1" applyAlignment="1">
      <alignment horizontal="right" vertical="center"/>
    </xf>
    <xf numFmtId="184" fontId="8" fillId="0" borderId="50" xfId="1" applyNumberFormat="1" applyFont="1" applyBorder="1" applyAlignment="1">
      <alignment horizontal="right" vertical="center"/>
    </xf>
    <xf numFmtId="184" fontId="8" fillId="0" borderId="46" xfId="1" applyNumberFormat="1" applyFont="1" applyBorder="1" applyAlignment="1">
      <alignment horizontal="right" vertical="center"/>
    </xf>
    <xf numFmtId="184" fontId="8" fillId="0" borderId="52" xfId="1" applyNumberFormat="1" applyFont="1" applyBorder="1" applyAlignment="1">
      <alignment horizontal="right" vertical="center"/>
    </xf>
    <xf numFmtId="184" fontId="8" fillId="0" borderId="49" xfId="1" applyNumberFormat="1" applyFont="1" applyBorder="1" applyAlignment="1">
      <alignment horizontal="right" vertical="center"/>
    </xf>
    <xf numFmtId="183" fontId="8" fillId="0" borderId="42" xfId="1" applyNumberFormat="1" applyFont="1" applyBorder="1" applyAlignment="1">
      <alignment horizontal="center" vertical="center"/>
    </xf>
    <xf numFmtId="183" fontId="8" fillId="0" borderId="44" xfId="1" applyNumberFormat="1" applyFont="1" applyBorder="1" applyAlignment="1">
      <alignment horizontal="center" vertical="center"/>
    </xf>
    <xf numFmtId="0" fontId="20" fillId="0" borderId="0" xfId="1" applyFont="1"/>
    <xf numFmtId="0" fontId="20" fillId="0" borderId="0" xfId="1" applyFont="1" applyAlignment="1">
      <alignment vertical="center"/>
    </xf>
    <xf numFmtId="0" fontId="20" fillId="0" borderId="0" xfId="1" applyFont="1" applyAlignment="1">
      <alignment horizontal="center"/>
    </xf>
    <xf numFmtId="180" fontId="20" fillId="0" borderId="45" xfId="1" applyNumberFormat="1" applyFont="1" applyBorder="1" applyAlignment="1">
      <alignment horizontal="center" vertical="center"/>
    </xf>
    <xf numFmtId="181" fontId="20" fillId="0" borderId="46" xfId="1" applyNumberFormat="1" applyFont="1" applyBorder="1" applyAlignment="1">
      <alignment horizontal="center" vertical="center"/>
    </xf>
    <xf numFmtId="182" fontId="20" fillId="0" borderId="46" xfId="1" applyNumberFormat="1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180" fontId="20" fillId="0" borderId="51" xfId="1" applyNumberFormat="1" applyFont="1" applyBorder="1" applyAlignment="1">
      <alignment horizontal="center" vertical="center"/>
    </xf>
    <xf numFmtId="181" fontId="20" fillId="0" borderId="52" xfId="1" applyNumberFormat="1" applyFont="1" applyBorder="1" applyAlignment="1">
      <alignment horizontal="center" vertical="center"/>
    </xf>
    <xf numFmtId="182" fontId="20" fillId="0" borderId="52" xfId="1" applyNumberFormat="1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20" fillId="0" borderId="51" xfId="1" applyFont="1" applyBorder="1" applyAlignment="1">
      <alignment vertical="center"/>
    </xf>
    <xf numFmtId="0" fontId="20" fillId="0" borderId="48" xfId="1" applyFont="1" applyBorder="1" applyAlignment="1">
      <alignment vertical="center"/>
    </xf>
    <xf numFmtId="181" fontId="20" fillId="0" borderId="49" xfId="1" applyNumberFormat="1" applyFont="1" applyBorder="1" applyAlignment="1">
      <alignment horizontal="center" vertical="center"/>
    </xf>
    <xf numFmtId="182" fontId="20" fillId="0" borderId="49" xfId="1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1" fillId="0" borderId="36" xfId="0" applyFont="1" applyBorder="1" applyAlignment="1"/>
    <xf numFmtId="0" fontId="32" fillId="0" borderId="36" xfId="0" applyFont="1" applyBorder="1" applyAlignment="1"/>
    <xf numFmtId="0" fontId="6" fillId="0" borderId="36" xfId="0" applyFont="1" applyBorder="1" applyAlignment="1"/>
    <xf numFmtId="0" fontId="32" fillId="0" borderId="36" xfId="0" applyFont="1" applyBorder="1" applyAlignment="1">
      <alignment horizontal="left"/>
    </xf>
    <xf numFmtId="0" fontId="32" fillId="0" borderId="36" xfId="0" applyFont="1" applyBorder="1" applyAlignment="1">
      <alignment horizontal="center"/>
    </xf>
    <xf numFmtId="0" fontId="32" fillId="0" borderId="36" xfId="0" applyFont="1" applyBorder="1">
      <alignment vertical="center"/>
    </xf>
    <xf numFmtId="0" fontId="31" fillId="0" borderId="37" xfId="0" applyFont="1" applyBorder="1" applyAlignment="1"/>
    <xf numFmtId="0" fontId="32" fillId="0" borderId="37" xfId="0" applyFont="1" applyBorder="1" applyAlignment="1">
      <alignment horizontal="left"/>
    </xf>
    <xf numFmtId="0" fontId="32" fillId="0" borderId="37" xfId="0" applyFont="1" applyBorder="1">
      <alignment vertical="center"/>
    </xf>
    <xf numFmtId="49" fontId="32" fillId="0" borderId="36" xfId="0" applyNumberFormat="1" applyFont="1" applyBorder="1" applyAlignment="1">
      <alignment horizontal="left"/>
    </xf>
    <xf numFmtId="49" fontId="32" fillId="0" borderId="36" xfId="0" applyNumberFormat="1" applyFont="1" applyBorder="1" applyAlignment="1"/>
    <xf numFmtId="0" fontId="28" fillId="6" borderId="42" xfId="1" applyFont="1" applyFill="1" applyBorder="1" applyAlignment="1">
      <alignment horizontal="center" vertical="center"/>
    </xf>
    <xf numFmtId="0" fontId="28" fillId="6" borderId="43" xfId="1" applyFont="1" applyFill="1" applyBorder="1" applyAlignment="1">
      <alignment horizontal="center" vertical="center"/>
    </xf>
    <xf numFmtId="0" fontId="28" fillId="6" borderId="43" xfId="1" applyFont="1" applyFill="1" applyBorder="1" applyAlignment="1">
      <alignment horizontal="center" vertical="center" wrapText="1"/>
    </xf>
    <xf numFmtId="0" fontId="28" fillId="6" borderId="44" xfId="1" applyFont="1" applyFill="1" applyBorder="1" applyAlignment="1">
      <alignment horizontal="center" vertical="center"/>
    </xf>
    <xf numFmtId="0" fontId="28" fillId="6" borderId="42" xfId="1" applyFont="1" applyFill="1" applyBorder="1" applyAlignment="1">
      <alignment horizontal="center" vertical="center" wrapText="1"/>
    </xf>
    <xf numFmtId="0" fontId="28" fillId="6" borderId="44" xfId="1" applyFont="1" applyFill="1" applyBorder="1" applyAlignment="1">
      <alignment horizontal="center" vertical="center" wrapText="1"/>
    </xf>
    <xf numFmtId="0" fontId="6" fillId="6" borderId="31" xfId="1" applyFont="1" applyFill="1" applyBorder="1" applyAlignment="1">
      <alignment horizontal="center" vertical="center"/>
    </xf>
    <xf numFmtId="0" fontId="6" fillId="6" borderId="27" xfId="1" applyFont="1" applyFill="1" applyBorder="1" applyAlignment="1">
      <alignment horizontal="center" vertical="center"/>
    </xf>
    <xf numFmtId="183" fontId="8" fillId="6" borderId="27" xfId="1" applyNumberFormat="1" applyFont="1" applyFill="1" applyBorder="1" applyAlignment="1">
      <alignment horizontal="right" vertical="center"/>
    </xf>
    <xf numFmtId="183" fontId="8" fillId="6" borderId="32" xfId="1" applyNumberFormat="1" applyFont="1" applyFill="1" applyBorder="1" applyAlignment="1">
      <alignment horizontal="right" vertical="center"/>
    </xf>
    <xf numFmtId="0" fontId="6" fillId="6" borderId="25" xfId="1" applyFont="1" applyFill="1" applyBorder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189" fontId="8" fillId="6" borderId="0" xfId="1" applyNumberFormat="1" applyFont="1" applyFill="1" applyAlignment="1">
      <alignment horizontal="right" vertical="center"/>
    </xf>
    <xf numFmtId="189" fontId="8" fillId="6" borderId="29" xfId="1" applyNumberFormat="1" applyFont="1" applyFill="1" applyBorder="1" applyAlignment="1">
      <alignment horizontal="right" vertical="center"/>
    </xf>
    <xf numFmtId="4" fontId="28" fillId="6" borderId="48" xfId="3" applyNumberFormat="1" applyFont="1" applyFill="1" applyBorder="1" applyAlignment="1" applyProtection="1">
      <alignment horizontal="center" vertical="center" wrapText="1"/>
      <protection locked="0"/>
    </xf>
    <xf numFmtId="183" fontId="37" fillId="7" borderId="53" xfId="1" applyNumberFormat="1" applyFont="1" applyFill="1" applyBorder="1" applyAlignment="1" applyProtection="1">
      <alignment horizontal="right" vertical="center"/>
      <protection locked="0"/>
    </xf>
    <xf numFmtId="184" fontId="37" fillId="7" borderId="53" xfId="1" applyNumberFormat="1" applyFont="1" applyFill="1" applyBorder="1" applyAlignment="1">
      <alignment horizontal="right" vertical="center"/>
    </xf>
    <xf numFmtId="184" fontId="37" fillId="7" borderId="52" xfId="1" applyNumberFormat="1" applyFont="1" applyFill="1" applyBorder="1" applyAlignment="1">
      <alignment horizontal="right" vertical="center"/>
    </xf>
    <xf numFmtId="4" fontId="10" fillId="0" borderId="57" xfId="3" applyNumberFormat="1" applyFont="1" applyBorder="1" applyAlignment="1" applyProtection="1">
      <alignment vertical="center" wrapText="1"/>
      <protection locked="0"/>
    </xf>
    <xf numFmtId="4" fontId="10" fillId="0" borderId="58" xfId="3" applyNumberFormat="1" applyFont="1" applyBorder="1" applyAlignment="1" applyProtection="1">
      <alignment vertical="center" wrapText="1"/>
      <protection locked="0"/>
    </xf>
    <xf numFmtId="4" fontId="10" fillId="0" borderId="59" xfId="3" applyNumberFormat="1" applyFont="1" applyBorder="1" applyAlignment="1" applyProtection="1">
      <alignment vertical="center" wrapText="1"/>
      <protection locked="0"/>
    </xf>
    <xf numFmtId="4" fontId="10" fillId="0" borderId="60" xfId="3" applyNumberFormat="1" applyFont="1" applyBorder="1" applyAlignment="1" applyProtection="1">
      <alignment vertical="center" wrapText="1"/>
      <protection locked="0"/>
    </xf>
    <xf numFmtId="4" fontId="10" fillId="0" borderId="61" xfId="3" applyNumberFormat="1" applyFont="1" applyBorder="1" applyAlignment="1" applyProtection="1">
      <alignment vertical="center" wrapText="1"/>
      <protection locked="0"/>
    </xf>
    <xf numFmtId="4" fontId="10" fillId="0" borderId="62" xfId="3" applyNumberFormat="1" applyFont="1" applyBorder="1" applyAlignment="1" applyProtection="1">
      <alignment vertical="center" wrapText="1"/>
      <protection locked="0"/>
    </xf>
    <xf numFmtId="0" fontId="8" fillId="0" borderId="38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28" fillId="6" borderId="41" xfId="1" applyFont="1" applyFill="1" applyBorder="1" applyAlignment="1">
      <alignment horizontal="center" vertical="center"/>
    </xf>
    <xf numFmtId="0" fontId="28" fillId="6" borderId="39" xfId="1" applyFont="1" applyFill="1" applyBorder="1" applyAlignment="1">
      <alignment horizontal="center" vertical="center"/>
    </xf>
    <xf numFmtId="0" fontId="28" fillId="6" borderId="40" xfId="1" applyFont="1" applyFill="1" applyBorder="1" applyAlignment="1">
      <alignment horizontal="center" vertical="center"/>
    </xf>
    <xf numFmtId="4" fontId="10" fillId="0" borderId="54" xfId="3" applyNumberFormat="1" applyFont="1" applyBorder="1" applyAlignment="1" applyProtection="1">
      <alignment vertical="center" wrapText="1"/>
      <protection locked="0"/>
    </xf>
    <xf numFmtId="4" fontId="10" fillId="0" borderId="55" xfId="3" applyNumberFormat="1" applyFont="1" applyBorder="1" applyAlignment="1" applyProtection="1">
      <alignment vertical="center" wrapText="1"/>
      <protection locked="0"/>
    </xf>
    <xf numFmtId="4" fontId="10" fillId="0" borderId="56" xfId="3" applyNumberFormat="1" applyFont="1" applyBorder="1" applyAlignment="1" applyProtection="1">
      <alignment vertical="center" wrapText="1"/>
      <protection locked="0"/>
    </xf>
    <xf numFmtId="0" fontId="28" fillId="0" borderId="31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0" fillId="0" borderId="0" xfId="1" applyFont="1" applyAlignment="1" applyProtection="1">
      <alignment horizontal="left" vertical="center"/>
      <protection locked="0"/>
    </xf>
    <xf numFmtId="190" fontId="33" fillId="0" borderId="0" xfId="0" applyNumberFormat="1" applyFont="1" applyAlignment="1">
      <alignment horizontal="center" vertical="center"/>
    </xf>
    <xf numFmtId="183" fontId="8" fillId="0" borderId="43" xfId="3" applyNumberFormat="1" applyFont="1" applyBorder="1" applyAlignment="1" applyProtection="1">
      <alignment horizontal="center" vertical="center" wrapText="1"/>
      <protection locked="0"/>
    </xf>
    <xf numFmtId="183" fontId="8" fillId="0" borderId="44" xfId="3" applyNumberFormat="1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 vertical="center"/>
    </xf>
    <xf numFmtId="4" fontId="28" fillId="6" borderId="45" xfId="3" applyNumberFormat="1" applyFont="1" applyFill="1" applyBorder="1" applyAlignment="1" applyProtection="1">
      <alignment horizontal="center" vertical="center" wrapText="1"/>
      <protection locked="0"/>
    </xf>
    <xf numFmtId="4" fontId="28" fillId="6" borderId="46" xfId="3" applyNumberFormat="1" applyFont="1" applyFill="1" applyBorder="1" applyAlignment="1" applyProtection="1">
      <alignment horizontal="center" vertical="center" wrapText="1"/>
      <protection locked="0"/>
    </xf>
    <xf numFmtId="4" fontId="28" fillId="6" borderId="47" xfId="3" applyNumberFormat="1" applyFont="1" applyFill="1" applyBorder="1" applyAlignment="1" applyProtection="1">
      <alignment horizontal="center" vertical="center" wrapText="1"/>
      <protection locked="0"/>
    </xf>
    <xf numFmtId="4" fontId="28" fillId="6" borderId="49" xfId="3" applyNumberFormat="1" applyFont="1" applyFill="1" applyBorder="1" applyAlignment="1" applyProtection="1">
      <alignment horizontal="center" vertical="center" wrapText="1"/>
      <protection locked="0"/>
    </xf>
    <xf numFmtId="4" fontId="28" fillId="6" borderId="50" xfId="3" applyNumberFormat="1" applyFont="1" applyFill="1" applyBorder="1" applyAlignment="1" applyProtection="1">
      <alignment horizontal="center" vertical="center" wrapText="1"/>
      <protection locked="0"/>
    </xf>
    <xf numFmtId="0" fontId="29" fillId="6" borderId="28" xfId="0" applyFont="1" applyFill="1" applyBorder="1" applyAlignment="1">
      <alignment horizontal="center" vertical="center"/>
    </xf>
    <xf numFmtId="0" fontId="29" fillId="6" borderId="14" xfId="0" applyFont="1" applyFill="1" applyBorder="1" applyAlignment="1">
      <alignment horizontal="center" vertical="center"/>
    </xf>
    <xf numFmtId="0" fontId="29" fillId="6" borderId="15" xfId="0" applyFont="1" applyFill="1" applyBorder="1" applyAlignment="1">
      <alignment horizontal="center" vertical="center"/>
    </xf>
    <xf numFmtId="4" fontId="34" fillId="6" borderId="9" xfId="3" applyNumberFormat="1" applyFont="1" applyFill="1" applyBorder="1" applyAlignment="1" applyProtection="1">
      <alignment horizontal="center" vertical="center" wrapText="1"/>
      <protection locked="0"/>
    </xf>
    <xf numFmtId="183" fontId="8" fillId="0" borderId="9" xfId="3" applyNumberFormat="1" applyFont="1" applyBorder="1" applyAlignment="1" applyProtection="1">
      <alignment horizontal="center" vertical="center" wrapText="1"/>
      <protection locked="0"/>
    </xf>
    <xf numFmtId="4" fontId="10" fillId="0" borderId="13" xfId="3" applyNumberFormat="1" applyFont="1" applyBorder="1" applyAlignment="1" applyProtection="1">
      <alignment horizontal="left" vertical="center" wrapText="1"/>
      <protection locked="0"/>
    </xf>
    <xf numFmtId="4" fontId="10" fillId="0" borderId="14" xfId="3" applyNumberFormat="1" applyFont="1" applyBorder="1" applyAlignment="1" applyProtection="1">
      <alignment horizontal="left" vertical="center" wrapText="1"/>
      <protection locked="0"/>
    </xf>
    <xf numFmtId="4" fontId="10" fillId="0" borderId="15" xfId="3" applyNumberFormat="1" applyFont="1" applyBorder="1" applyAlignment="1" applyProtection="1">
      <alignment horizontal="left" vertical="center" wrapText="1"/>
      <protection locked="0"/>
    </xf>
    <xf numFmtId="0" fontId="0" fillId="2" borderId="5" xfId="1" applyFont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23" xfId="1" applyFill="1" applyBorder="1" applyAlignment="1">
      <alignment horizontal="center" vertical="center"/>
    </xf>
    <xf numFmtId="0" fontId="15" fillId="4" borderId="0" xfId="1" applyFont="1" applyFill="1" applyAlignment="1" applyProtection="1">
      <alignment horizontal="left"/>
      <protection locked="0"/>
    </xf>
    <xf numFmtId="177" fontId="16" fillId="0" borderId="0" xfId="1" applyNumberFormat="1" applyFont="1" applyAlignment="1" applyProtection="1">
      <alignment horizontal="center" vertical="center"/>
      <protection locked="0"/>
    </xf>
    <xf numFmtId="0" fontId="0" fillId="5" borderId="5" xfId="2" applyFont="1" applyFill="1" applyBorder="1" applyAlignment="1">
      <alignment horizontal="center" vertical="center"/>
    </xf>
    <xf numFmtId="0" fontId="0" fillId="5" borderId="4" xfId="2" applyFont="1" applyFill="1" applyBorder="1" applyAlignment="1">
      <alignment horizontal="center" vertical="center"/>
    </xf>
    <xf numFmtId="178" fontId="6" fillId="0" borderId="0" xfId="2" applyNumberFormat="1" applyFont="1" applyAlignment="1">
      <alignment horizontal="right" vertical="center"/>
    </xf>
    <xf numFmtId="179" fontId="6" fillId="0" borderId="0" xfId="2" applyNumberFormat="1" applyFont="1" applyAlignment="1">
      <alignment horizontal="center" vertical="center"/>
    </xf>
    <xf numFmtId="0" fontId="0" fillId="0" borderId="0" xfId="1" applyFont="1" applyAlignment="1" applyProtection="1">
      <alignment horizontal="left" vertical="center"/>
      <protection locked="0"/>
    </xf>
    <xf numFmtId="0" fontId="1" fillId="0" borderId="0" xfId="1" applyAlignment="1" applyProtection="1">
      <alignment horizontal="left" vertical="center"/>
      <protection locked="0"/>
    </xf>
    <xf numFmtId="0" fontId="0" fillId="0" borderId="19" xfId="2" applyFont="1" applyBorder="1" applyAlignment="1" applyProtection="1">
      <alignment horizontal="center" vertical="center"/>
      <protection locked="0"/>
    </xf>
    <xf numFmtId="0" fontId="0" fillId="0" borderId="22" xfId="2" applyFont="1" applyBorder="1" applyAlignment="1" applyProtection="1">
      <alignment horizontal="center" vertical="center"/>
      <protection locked="0"/>
    </xf>
    <xf numFmtId="0" fontId="1" fillId="2" borderId="9" xfId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</cellXfs>
  <cellStyles count="4">
    <cellStyle name="標準" xfId="0" builtinId="0"/>
    <cellStyle name="標準_200309月報_時間集計 CS本部_コピー時間集計 CS本部 ゼクシス用" xfId="1" xr:uid="{00000000-0005-0000-0000-000001000000}"/>
    <cellStyle name="標準_９６年　７月" xfId="3" xr:uid="{00000000-0005-0000-0000-000002000000}"/>
    <cellStyle name="標準_萩尾請求書_時間集計 CS本部_コピー時間集計 CS本部 ゼクシス用" xfId="2" xr:uid="{00000000-0005-0000-0000-000003000000}"/>
  </cellStyles>
  <dxfs count="17">
    <dxf>
      <font>
        <condense val="0"/>
        <extend val="0"/>
        <color indexed="12"/>
      </font>
    </dxf>
    <dxf>
      <font>
        <condense val="0"/>
        <extend val="0"/>
        <color indexed="10"/>
      </font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ndense val="0"/>
        <extend val="0"/>
        <color indexed="12"/>
      </font>
    </dxf>
    <dxf>
      <font>
        <condense val="0"/>
        <extend val="0"/>
        <color indexed="1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ndense val="0"/>
        <extend val="0"/>
        <color indexed="12"/>
      </font>
    </dxf>
    <dxf>
      <font>
        <condense val="0"/>
        <extend val="0"/>
        <color indexed="10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CCFFFF"/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300037</xdr:colOff>
      <xdr:row>5</xdr:row>
      <xdr:rowOff>266700</xdr:rowOff>
    </xdr:from>
    <xdr:to>
      <xdr:col>13</xdr:col>
      <xdr:colOff>100013</xdr:colOff>
      <xdr:row>10</xdr:row>
      <xdr:rowOff>166688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90625" y="1838325"/>
          <a:ext cx="5510213" cy="147161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114300</xdr:colOff>
      <xdr:row>0</xdr:row>
      <xdr:rowOff>52389</xdr:rowOff>
    </xdr:from>
    <xdr:to>
      <xdr:col>10</xdr:col>
      <xdr:colOff>123826</xdr:colOff>
      <xdr:row>2</xdr:row>
      <xdr:rowOff>133351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04888" y="52389"/>
          <a:ext cx="4010026" cy="7096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461962</xdr:colOff>
      <xdr:row>5</xdr:row>
      <xdr:rowOff>295276</xdr:rowOff>
    </xdr:from>
    <xdr:to>
      <xdr:col>19</xdr:col>
      <xdr:colOff>495302</xdr:colOff>
      <xdr:row>7</xdr:row>
      <xdr:rowOff>42863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591550" y="1866901"/>
          <a:ext cx="1562102" cy="37623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419100</xdr:colOff>
      <xdr:row>15</xdr:row>
      <xdr:rowOff>338137</xdr:rowOff>
    </xdr:from>
    <xdr:to>
      <xdr:col>6</xdr:col>
      <xdr:colOff>42862</xdr:colOff>
      <xdr:row>47</xdr:row>
      <xdr:rowOff>23812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309688" y="4529137"/>
          <a:ext cx="1109662" cy="843438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28574</xdr:colOff>
      <xdr:row>2</xdr:row>
      <xdr:rowOff>280988</xdr:rowOff>
    </xdr:from>
    <xdr:to>
      <xdr:col>19</xdr:col>
      <xdr:colOff>452437</xdr:colOff>
      <xdr:row>4</xdr:row>
      <xdr:rowOff>28575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8574" y="909638"/>
          <a:ext cx="10082213" cy="37623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519113</xdr:colOff>
      <xdr:row>30</xdr:row>
      <xdr:rowOff>104774</xdr:rowOff>
    </xdr:from>
    <xdr:to>
      <xdr:col>8</xdr:col>
      <xdr:colOff>47625</xdr:colOff>
      <xdr:row>33</xdr:row>
      <xdr:rowOff>95250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895601" y="8191499"/>
          <a:ext cx="595312" cy="129540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900113</xdr:colOff>
      <xdr:row>30</xdr:row>
      <xdr:rowOff>152400</xdr:rowOff>
    </xdr:from>
    <xdr:to>
      <xdr:col>11</xdr:col>
      <xdr:colOff>47625</xdr:colOff>
      <xdr:row>32</xdr:row>
      <xdr:rowOff>114300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876801" y="8239125"/>
          <a:ext cx="595312" cy="82391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195262</xdr:colOff>
      <xdr:row>11</xdr:row>
      <xdr:rowOff>9525</xdr:rowOff>
    </xdr:from>
    <xdr:to>
      <xdr:col>10</xdr:col>
      <xdr:colOff>228600</xdr:colOff>
      <xdr:row>13</xdr:row>
      <xdr:rowOff>157163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105150" y="3400425"/>
          <a:ext cx="2014538" cy="652463"/>
        </a:xfrm>
        <a:prstGeom prst="wedgeRoundRectCallout">
          <a:avLst>
            <a:gd name="adj1" fmla="val -88050"/>
            <a:gd name="adj2" fmla="val 150893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作業の開始時刻、終了時刻を入力して下さい。</a:t>
          </a:r>
        </a:p>
      </xdr:txBody>
    </xdr:sp>
    <xdr:clientData/>
  </xdr:twoCellAnchor>
  <xdr:twoCellAnchor>
    <xdr:from>
      <xdr:col>0</xdr:col>
      <xdr:colOff>285749</xdr:colOff>
      <xdr:row>13</xdr:row>
      <xdr:rowOff>33338</xdr:rowOff>
    </xdr:from>
    <xdr:to>
      <xdr:col>7</xdr:col>
      <xdr:colOff>71436</xdr:colOff>
      <xdr:row>14</xdr:row>
      <xdr:rowOff>23812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285749" y="3929063"/>
          <a:ext cx="2695575" cy="24288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409575</xdr:colOff>
      <xdr:row>11</xdr:row>
      <xdr:rowOff>19050</xdr:rowOff>
    </xdr:from>
    <xdr:to>
      <xdr:col>15</xdr:col>
      <xdr:colOff>409575</xdr:colOff>
      <xdr:row>13</xdr:row>
      <xdr:rowOff>161925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300663" y="3409950"/>
          <a:ext cx="2728912" cy="6477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はじめに、マスタシートにて就業時間、休憩時間を定義してください。</a:t>
          </a:r>
        </a:p>
      </xdr:txBody>
    </xdr:sp>
    <xdr:clientData/>
  </xdr:twoCellAnchor>
  <xdr:twoCellAnchor>
    <xdr:from>
      <xdr:col>19</xdr:col>
      <xdr:colOff>461963</xdr:colOff>
      <xdr:row>23</xdr:row>
      <xdr:rowOff>371476</xdr:rowOff>
    </xdr:from>
    <xdr:to>
      <xdr:col>21</xdr:col>
      <xdr:colOff>66674</xdr:colOff>
      <xdr:row>25</xdr:row>
      <xdr:rowOff>23813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0120313" y="6691314"/>
          <a:ext cx="481011" cy="2905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461963</xdr:colOff>
      <xdr:row>33</xdr:row>
      <xdr:rowOff>219076</xdr:rowOff>
    </xdr:from>
    <xdr:to>
      <xdr:col>21</xdr:col>
      <xdr:colOff>66674</xdr:colOff>
      <xdr:row>35</xdr:row>
      <xdr:rowOff>4763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0120313" y="9744076"/>
          <a:ext cx="481011" cy="2905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38100</xdr:rowOff>
    </xdr:from>
    <xdr:to>
      <xdr:col>16</xdr:col>
      <xdr:colOff>9525</xdr:colOff>
      <xdr:row>1</xdr:row>
      <xdr:rowOff>19050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143750" y="38100"/>
          <a:ext cx="1638300" cy="32385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47625</xdr:colOff>
      <xdr:row>6</xdr:row>
      <xdr:rowOff>266700</xdr:rowOff>
    </xdr:from>
    <xdr:to>
      <xdr:col>4</xdr:col>
      <xdr:colOff>38099</xdr:colOff>
      <xdr:row>38</xdr:row>
      <xdr:rowOff>66675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7625" y="1638300"/>
          <a:ext cx="1552574" cy="11915775"/>
        </a:xfrm>
        <a:prstGeom prst="rect">
          <a:avLst/>
        </a:prstGeom>
        <a:noFill/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561974</xdr:colOff>
      <xdr:row>6</xdr:row>
      <xdr:rowOff>266700</xdr:rowOff>
    </xdr:from>
    <xdr:to>
      <xdr:col>8</xdr:col>
      <xdr:colOff>57149</xdr:colOff>
      <xdr:row>38</xdr:row>
      <xdr:rowOff>76199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752724" y="1638300"/>
          <a:ext cx="1514475" cy="11925299"/>
        </a:xfrm>
        <a:prstGeom prst="rect">
          <a:avLst/>
        </a:prstGeom>
        <a:noFill/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657226</xdr:colOff>
      <xdr:row>3</xdr:row>
      <xdr:rowOff>152400</xdr:rowOff>
    </xdr:from>
    <xdr:to>
      <xdr:col>9</xdr:col>
      <xdr:colOff>66676</xdr:colOff>
      <xdr:row>6</xdr:row>
      <xdr:rowOff>9525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181476" y="990600"/>
          <a:ext cx="857250" cy="390525"/>
        </a:xfrm>
        <a:prstGeom prst="rect">
          <a:avLst/>
        </a:prstGeom>
        <a:noFill/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381000</xdr:colOff>
      <xdr:row>2</xdr:row>
      <xdr:rowOff>9524</xdr:rowOff>
    </xdr:from>
    <xdr:to>
      <xdr:col>9</xdr:col>
      <xdr:colOff>152399</xdr:colOff>
      <xdr:row>3</xdr:row>
      <xdr:rowOff>19049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943100" y="600074"/>
          <a:ext cx="3181349" cy="257175"/>
        </a:xfrm>
        <a:prstGeom prst="rect">
          <a:avLst/>
        </a:prstGeom>
        <a:noFill/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133350</xdr:colOff>
      <xdr:row>0</xdr:row>
      <xdr:rowOff>304800</xdr:rowOff>
    </xdr:from>
    <xdr:to>
      <xdr:col>8</xdr:col>
      <xdr:colOff>533399</xdr:colOff>
      <xdr:row>2</xdr:row>
      <xdr:rowOff>9525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952750" y="304800"/>
          <a:ext cx="1790699" cy="2952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0</xdr:colOff>
      <xdr:row>8</xdr:row>
      <xdr:rowOff>88900</xdr:rowOff>
    </xdr:from>
    <xdr:to>
      <xdr:col>18</xdr:col>
      <xdr:colOff>9525</xdr:colOff>
      <xdr:row>8</xdr:row>
      <xdr:rowOff>337300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144000" y="2168525"/>
          <a:ext cx="708025" cy="2484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0</xdr:colOff>
      <xdr:row>9</xdr:row>
      <xdr:rowOff>57149</xdr:rowOff>
    </xdr:from>
    <xdr:to>
      <xdr:col>18</xdr:col>
      <xdr:colOff>9525</xdr:colOff>
      <xdr:row>9</xdr:row>
      <xdr:rowOff>304800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9172575" y="2495549"/>
          <a:ext cx="704850" cy="247651"/>
        </a:xfrm>
        <a:prstGeom prst="rect">
          <a:avLst/>
        </a:prstGeom>
        <a:noFill/>
        <a:ln w="254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243840</xdr:colOff>
          <xdr:row>8</xdr:row>
          <xdr:rowOff>60960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休日取得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0D0A06-E6DA-45D8-B6F2-7BAF7B50A093}">
  <we:reference id="wa200005271" version="1.1.0.0" store="ja-JP" storeType="OMEX"/>
  <we:alternateReferences>
    <we:reference id="WA200005271" version="1.1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AB68"/>
  <sheetViews>
    <sheetView tabSelected="1" topLeftCell="A23" zoomScaleNormal="100" zoomScaleSheetLayoutView="100" workbookViewId="0">
      <selection activeCell="M45" sqref="M45:T45"/>
    </sheetView>
  </sheetViews>
  <sheetFormatPr defaultColWidth="8.77734375" defaultRowHeight="13.2" x14ac:dyDescent="0.2"/>
  <cols>
    <col min="1" max="1" width="4.33203125" style="3" customWidth="1"/>
    <col min="2" max="2" width="4" style="3" customWidth="1"/>
    <col min="3" max="3" width="4.109375" style="3" customWidth="1"/>
    <col min="4" max="4" width="6.109375" style="3" customWidth="1"/>
    <col min="5" max="6" width="7.33203125" style="3" customWidth="1"/>
    <col min="7" max="7" width="7.44140625" style="3" customWidth="1"/>
    <col min="8" max="12" width="7.44140625" style="5" customWidth="1"/>
    <col min="13" max="13" width="9" style="5" customWidth="1"/>
    <col min="14" max="20" width="7.109375" style="3" customWidth="1"/>
    <col min="21" max="21" width="5.109375" style="3" bestFit="1" customWidth="1"/>
    <col min="22" max="26" width="9.109375" style="3" bestFit="1" customWidth="1"/>
    <col min="27" max="259" width="8.77734375" style="3"/>
    <col min="260" max="260" width="4.33203125" style="3" customWidth="1"/>
    <col min="261" max="261" width="4" style="3" customWidth="1"/>
    <col min="262" max="262" width="4.109375" style="3" customWidth="1"/>
    <col min="263" max="263" width="8" style="3" customWidth="1"/>
    <col min="264" max="265" width="8.109375" style="3" customWidth="1"/>
    <col min="266" max="266" width="9.109375" style="3" customWidth="1"/>
    <col min="267" max="267" width="8.77734375" style="3"/>
    <col min="268" max="268" width="6.44140625" style="3" customWidth="1"/>
    <col min="269" max="269" width="26.109375" style="3" customWidth="1"/>
    <col min="270" max="270" width="7.109375" style="3" customWidth="1"/>
    <col min="271" max="271" width="11.109375" style="3" customWidth="1"/>
    <col min="272" max="272" width="5.109375" style="3" bestFit="1" customWidth="1"/>
    <col min="273" max="276" width="8.77734375" style="3"/>
    <col min="277" max="277" width="7.44140625" style="3" bestFit="1" customWidth="1"/>
    <col min="278" max="282" width="9.109375" style="3" bestFit="1" customWidth="1"/>
    <col min="283" max="515" width="8.77734375" style="3"/>
    <col min="516" max="516" width="4.33203125" style="3" customWidth="1"/>
    <col min="517" max="517" width="4" style="3" customWidth="1"/>
    <col min="518" max="518" width="4.109375" style="3" customWidth="1"/>
    <col min="519" max="519" width="8" style="3" customWidth="1"/>
    <col min="520" max="521" width="8.109375" style="3" customWidth="1"/>
    <col min="522" max="522" width="9.109375" style="3" customWidth="1"/>
    <col min="523" max="523" width="8.77734375" style="3"/>
    <col min="524" max="524" width="6.44140625" style="3" customWidth="1"/>
    <col min="525" max="525" width="26.109375" style="3" customWidth="1"/>
    <col min="526" max="526" width="7.109375" style="3" customWidth="1"/>
    <col min="527" max="527" width="11.109375" style="3" customWidth="1"/>
    <col min="528" max="528" width="5.109375" style="3" bestFit="1" customWidth="1"/>
    <col min="529" max="532" width="8.77734375" style="3"/>
    <col min="533" max="533" width="7.44140625" style="3" bestFit="1" customWidth="1"/>
    <col min="534" max="538" width="9.109375" style="3" bestFit="1" customWidth="1"/>
    <col min="539" max="771" width="8.77734375" style="3"/>
    <col min="772" max="772" width="4.33203125" style="3" customWidth="1"/>
    <col min="773" max="773" width="4" style="3" customWidth="1"/>
    <col min="774" max="774" width="4.109375" style="3" customWidth="1"/>
    <col min="775" max="775" width="8" style="3" customWidth="1"/>
    <col min="776" max="777" width="8.109375" style="3" customWidth="1"/>
    <col min="778" max="778" width="9.109375" style="3" customWidth="1"/>
    <col min="779" max="779" width="8.77734375" style="3"/>
    <col min="780" max="780" width="6.44140625" style="3" customWidth="1"/>
    <col min="781" max="781" width="26.109375" style="3" customWidth="1"/>
    <col min="782" max="782" width="7.109375" style="3" customWidth="1"/>
    <col min="783" max="783" width="11.109375" style="3" customWidth="1"/>
    <col min="784" max="784" width="5.109375" style="3" bestFit="1" customWidth="1"/>
    <col min="785" max="788" width="8.77734375" style="3"/>
    <col min="789" max="789" width="7.44140625" style="3" bestFit="1" customWidth="1"/>
    <col min="790" max="794" width="9.109375" style="3" bestFit="1" customWidth="1"/>
    <col min="795" max="1027" width="8.77734375" style="3"/>
    <col min="1028" max="1028" width="4.33203125" style="3" customWidth="1"/>
    <col min="1029" max="1029" width="4" style="3" customWidth="1"/>
    <col min="1030" max="1030" width="4.109375" style="3" customWidth="1"/>
    <col min="1031" max="1031" width="8" style="3" customWidth="1"/>
    <col min="1032" max="1033" width="8.109375" style="3" customWidth="1"/>
    <col min="1034" max="1034" width="9.109375" style="3" customWidth="1"/>
    <col min="1035" max="1035" width="8.77734375" style="3"/>
    <col min="1036" max="1036" width="6.44140625" style="3" customWidth="1"/>
    <col min="1037" max="1037" width="26.109375" style="3" customWidth="1"/>
    <col min="1038" max="1038" width="7.109375" style="3" customWidth="1"/>
    <col min="1039" max="1039" width="11.109375" style="3" customWidth="1"/>
    <col min="1040" max="1040" width="5.109375" style="3" bestFit="1" customWidth="1"/>
    <col min="1041" max="1044" width="8.77734375" style="3"/>
    <col min="1045" max="1045" width="7.44140625" style="3" bestFit="1" customWidth="1"/>
    <col min="1046" max="1050" width="9.109375" style="3" bestFit="1" customWidth="1"/>
    <col min="1051" max="1283" width="8.77734375" style="3"/>
    <col min="1284" max="1284" width="4.33203125" style="3" customWidth="1"/>
    <col min="1285" max="1285" width="4" style="3" customWidth="1"/>
    <col min="1286" max="1286" width="4.109375" style="3" customWidth="1"/>
    <col min="1287" max="1287" width="8" style="3" customWidth="1"/>
    <col min="1288" max="1289" width="8.109375" style="3" customWidth="1"/>
    <col min="1290" max="1290" width="9.109375" style="3" customWidth="1"/>
    <col min="1291" max="1291" width="8.77734375" style="3"/>
    <col min="1292" max="1292" width="6.44140625" style="3" customWidth="1"/>
    <col min="1293" max="1293" width="26.109375" style="3" customWidth="1"/>
    <col min="1294" max="1294" width="7.109375" style="3" customWidth="1"/>
    <col min="1295" max="1295" width="11.109375" style="3" customWidth="1"/>
    <col min="1296" max="1296" width="5.109375" style="3" bestFit="1" customWidth="1"/>
    <col min="1297" max="1300" width="8.77734375" style="3"/>
    <col min="1301" max="1301" width="7.44140625" style="3" bestFit="1" customWidth="1"/>
    <col min="1302" max="1306" width="9.109375" style="3" bestFit="1" customWidth="1"/>
    <col min="1307" max="1539" width="8.77734375" style="3"/>
    <col min="1540" max="1540" width="4.33203125" style="3" customWidth="1"/>
    <col min="1541" max="1541" width="4" style="3" customWidth="1"/>
    <col min="1542" max="1542" width="4.109375" style="3" customWidth="1"/>
    <col min="1543" max="1543" width="8" style="3" customWidth="1"/>
    <col min="1544" max="1545" width="8.109375" style="3" customWidth="1"/>
    <col min="1546" max="1546" width="9.109375" style="3" customWidth="1"/>
    <col min="1547" max="1547" width="8.77734375" style="3"/>
    <col min="1548" max="1548" width="6.44140625" style="3" customWidth="1"/>
    <col min="1549" max="1549" width="26.109375" style="3" customWidth="1"/>
    <col min="1550" max="1550" width="7.109375" style="3" customWidth="1"/>
    <col min="1551" max="1551" width="11.109375" style="3" customWidth="1"/>
    <col min="1552" max="1552" width="5.109375" style="3" bestFit="1" customWidth="1"/>
    <col min="1553" max="1556" width="8.77734375" style="3"/>
    <col min="1557" max="1557" width="7.44140625" style="3" bestFit="1" customWidth="1"/>
    <col min="1558" max="1562" width="9.109375" style="3" bestFit="1" customWidth="1"/>
    <col min="1563" max="1795" width="8.77734375" style="3"/>
    <col min="1796" max="1796" width="4.33203125" style="3" customWidth="1"/>
    <col min="1797" max="1797" width="4" style="3" customWidth="1"/>
    <col min="1798" max="1798" width="4.109375" style="3" customWidth="1"/>
    <col min="1799" max="1799" width="8" style="3" customWidth="1"/>
    <col min="1800" max="1801" width="8.109375" style="3" customWidth="1"/>
    <col min="1802" max="1802" width="9.109375" style="3" customWidth="1"/>
    <col min="1803" max="1803" width="8.77734375" style="3"/>
    <col min="1804" max="1804" width="6.44140625" style="3" customWidth="1"/>
    <col min="1805" max="1805" width="26.109375" style="3" customWidth="1"/>
    <col min="1806" max="1806" width="7.109375" style="3" customWidth="1"/>
    <col min="1807" max="1807" width="11.109375" style="3" customWidth="1"/>
    <col min="1808" max="1808" width="5.109375" style="3" bestFit="1" customWidth="1"/>
    <col min="1809" max="1812" width="8.77734375" style="3"/>
    <col min="1813" max="1813" width="7.44140625" style="3" bestFit="1" customWidth="1"/>
    <col min="1814" max="1818" width="9.109375" style="3" bestFit="1" customWidth="1"/>
    <col min="1819" max="2051" width="8.77734375" style="3"/>
    <col min="2052" max="2052" width="4.33203125" style="3" customWidth="1"/>
    <col min="2053" max="2053" width="4" style="3" customWidth="1"/>
    <col min="2054" max="2054" width="4.109375" style="3" customWidth="1"/>
    <col min="2055" max="2055" width="8" style="3" customWidth="1"/>
    <col min="2056" max="2057" width="8.109375" style="3" customWidth="1"/>
    <col min="2058" max="2058" width="9.109375" style="3" customWidth="1"/>
    <col min="2059" max="2059" width="8.77734375" style="3"/>
    <col min="2060" max="2060" width="6.44140625" style="3" customWidth="1"/>
    <col min="2061" max="2061" width="26.109375" style="3" customWidth="1"/>
    <col min="2062" max="2062" width="7.109375" style="3" customWidth="1"/>
    <col min="2063" max="2063" width="11.109375" style="3" customWidth="1"/>
    <col min="2064" max="2064" width="5.109375" style="3" bestFit="1" customWidth="1"/>
    <col min="2065" max="2068" width="8.77734375" style="3"/>
    <col min="2069" max="2069" width="7.44140625" style="3" bestFit="1" customWidth="1"/>
    <col min="2070" max="2074" width="9.109375" style="3" bestFit="1" customWidth="1"/>
    <col min="2075" max="2307" width="8.77734375" style="3"/>
    <col min="2308" max="2308" width="4.33203125" style="3" customWidth="1"/>
    <col min="2309" max="2309" width="4" style="3" customWidth="1"/>
    <col min="2310" max="2310" width="4.109375" style="3" customWidth="1"/>
    <col min="2311" max="2311" width="8" style="3" customWidth="1"/>
    <col min="2312" max="2313" width="8.109375" style="3" customWidth="1"/>
    <col min="2314" max="2314" width="9.109375" style="3" customWidth="1"/>
    <col min="2315" max="2315" width="8.77734375" style="3"/>
    <col min="2316" max="2316" width="6.44140625" style="3" customWidth="1"/>
    <col min="2317" max="2317" width="26.109375" style="3" customWidth="1"/>
    <col min="2318" max="2318" width="7.109375" style="3" customWidth="1"/>
    <col min="2319" max="2319" width="11.109375" style="3" customWidth="1"/>
    <col min="2320" max="2320" width="5.109375" style="3" bestFit="1" customWidth="1"/>
    <col min="2321" max="2324" width="8.77734375" style="3"/>
    <col min="2325" max="2325" width="7.44140625" style="3" bestFit="1" customWidth="1"/>
    <col min="2326" max="2330" width="9.109375" style="3" bestFit="1" customWidth="1"/>
    <col min="2331" max="2563" width="8.77734375" style="3"/>
    <col min="2564" max="2564" width="4.33203125" style="3" customWidth="1"/>
    <col min="2565" max="2565" width="4" style="3" customWidth="1"/>
    <col min="2566" max="2566" width="4.109375" style="3" customWidth="1"/>
    <col min="2567" max="2567" width="8" style="3" customWidth="1"/>
    <col min="2568" max="2569" width="8.109375" style="3" customWidth="1"/>
    <col min="2570" max="2570" width="9.109375" style="3" customWidth="1"/>
    <col min="2571" max="2571" width="8.77734375" style="3"/>
    <col min="2572" max="2572" width="6.44140625" style="3" customWidth="1"/>
    <col min="2573" max="2573" width="26.109375" style="3" customWidth="1"/>
    <col min="2574" max="2574" width="7.109375" style="3" customWidth="1"/>
    <col min="2575" max="2575" width="11.109375" style="3" customWidth="1"/>
    <col min="2576" max="2576" width="5.109375" style="3" bestFit="1" customWidth="1"/>
    <col min="2577" max="2580" width="8.77734375" style="3"/>
    <col min="2581" max="2581" width="7.44140625" style="3" bestFit="1" customWidth="1"/>
    <col min="2582" max="2586" width="9.109375" style="3" bestFit="1" customWidth="1"/>
    <col min="2587" max="2819" width="8.77734375" style="3"/>
    <col min="2820" max="2820" width="4.33203125" style="3" customWidth="1"/>
    <col min="2821" max="2821" width="4" style="3" customWidth="1"/>
    <col min="2822" max="2822" width="4.109375" style="3" customWidth="1"/>
    <col min="2823" max="2823" width="8" style="3" customWidth="1"/>
    <col min="2824" max="2825" width="8.109375" style="3" customWidth="1"/>
    <col min="2826" max="2826" width="9.109375" style="3" customWidth="1"/>
    <col min="2827" max="2827" width="8.77734375" style="3"/>
    <col min="2828" max="2828" width="6.44140625" style="3" customWidth="1"/>
    <col min="2829" max="2829" width="26.109375" style="3" customWidth="1"/>
    <col min="2830" max="2830" width="7.109375" style="3" customWidth="1"/>
    <col min="2831" max="2831" width="11.109375" style="3" customWidth="1"/>
    <col min="2832" max="2832" width="5.109375" style="3" bestFit="1" customWidth="1"/>
    <col min="2833" max="2836" width="8.77734375" style="3"/>
    <col min="2837" max="2837" width="7.44140625" style="3" bestFit="1" customWidth="1"/>
    <col min="2838" max="2842" width="9.109375" style="3" bestFit="1" customWidth="1"/>
    <col min="2843" max="3075" width="8.77734375" style="3"/>
    <col min="3076" max="3076" width="4.33203125" style="3" customWidth="1"/>
    <col min="3077" max="3077" width="4" style="3" customWidth="1"/>
    <col min="3078" max="3078" width="4.109375" style="3" customWidth="1"/>
    <col min="3079" max="3079" width="8" style="3" customWidth="1"/>
    <col min="3080" max="3081" width="8.109375" style="3" customWidth="1"/>
    <col min="3082" max="3082" width="9.109375" style="3" customWidth="1"/>
    <col min="3083" max="3083" width="8.77734375" style="3"/>
    <col min="3084" max="3084" width="6.44140625" style="3" customWidth="1"/>
    <col min="3085" max="3085" width="26.109375" style="3" customWidth="1"/>
    <col min="3086" max="3086" width="7.109375" style="3" customWidth="1"/>
    <col min="3087" max="3087" width="11.109375" style="3" customWidth="1"/>
    <col min="3088" max="3088" width="5.109375" style="3" bestFit="1" customWidth="1"/>
    <col min="3089" max="3092" width="8.77734375" style="3"/>
    <col min="3093" max="3093" width="7.44140625" style="3" bestFit="1" customWidth="1"/>
    <col min="3094" max="3098" width="9.109375" style="3" bestFit="1" customWidth="1"/>
    <col min="3099" max="3331" width="8.77734375" style="3"/>
    <col min="3332" max="3332" width="4.33203125" style="3" customWidth="1"/>
    <col min="3333" max="3333" width="4" style="3" customWidth="1"/>
    <col min="3334" max="3334" width="4.109375" style="3" customWidth="1"/>
    <col min="3335" max="3335" width="8" style="3" customWidth="1"/>
    <col min="3336" max="3337" width="8.109375" style="3" customWidth="1"/>
    <col min="3338" max="3338" width="9.109375" style="3" customWidth="1"/>
    <col min="3339" max="3339" width="8.77734375" style="3"/>
    <col min="3340" max="3340" width="6.44140625" style="3" customWidth="1"/>
    <col min="3341" max="3341" width="26.109375" style="3" customWidth="1"/>
    <col min="3342" max="3342" width="7.109375" style="3" customWidth="1"/>
    <col min="3343" max="3343" width="11.109375" style="3" customWidth="1"/>
    <col min="3344" max="3344" width="5.109375" style="3" bestFit="1" customWidth="1"/>
    <col min="3345" max="3348" width="8.77734375" style="3"/>
    <col min="3349" max="3349" width="7.44140625" style="3" bestFit="1" customWidth="1"/>
    <col min="3350" max="3354" width="9.109375" style="3" bestFit="1" customWidth="1"/>
    <col min="3355" max="3587" width="8.77734375" style="3"/>
    <col min="3588" max="3588" width="4.33203125" style="3" customWidth="1"/>
    <col min="3589" max="3589" width="4" style="3" customWidth="1"/>
    <col min="3590" max="3590" width="4.109375" style="3" customWidth="1"/>
    <col min="3591" max="3591" width="8" style="3" customWidth="1"/>
    <col min="3592" max="3593" width="8.109375" style="3" customWidth="1"/>
    <col min="3594" max="3594" width="9.109375" style="3" customWidth="1"/>
    <col min="3595" max="3595" width="8.77734375" style="3"/>
    <col min="3596" max="3596" width="6.44140625" style="3" customWidth="1"/>
    <col min="3597" max="3597" width="26.109375" style="3" customWidth="1"/>
    <col min="3598" max="3598" width="7.109375" style="3" customWidth="1"/>
    <col min="3599" max="3599" width="11.109375" style="3" customWidth="1"/>
    <col min="3600" max="3600" width="5.109375" style="3" bestFit="1" customWidth="1"/>
    <col min="3601" max="3604" width="8.77734375" style="3"/>
    <col min="3605" max="3605" width="7.44140625" style="3" bestFit="1" customWidth="1"/>
    <col min="3606" max="3610" width="9.109375" style="3" bestFit="1" customWidth="1"/>
    <col min="3611" max="3843" width="8.77734375" style="3"/>
    <col min="3844" max="3844" width="4.33203125" style="3" customWidth="1"/>
    <col min="3845" max="3845" width="4" style="3" customWidth="1"/>
    <col min="3846" max="3846" width="4.109375" style="3" customWidth="1"/>
    <col min="3847" max="3847" width="8" style="3" customWidth="1"/>
    <col min="3848" max="3849" width="8.109375" style="3" customWidth="1"/>
    <col min="3850" max="3850" width="9.109375" style="3" customWidth="1"/>
    <col min="3851" max="3851" width="8.77734375" style="3"/>
    <col min="3852" max="3852" width="6.44140625" style="3" customWidth="1"/>
    <col min="3853" max="3853" width="26.109375" style="3" customWidth="1"/>
    <col min="3854" max="3854" width="7.109375" style="3" customWidth="1"/>
    <col min="3855" max="3855" width="11.109375" style="3" customWidth="1"/>
    <col min="3856" max="3856" width="5.109375" style="3" bestFit="1" customWidth="1"/>
    <col min="3857" max="3860" width="8.77734375" style="3"/>
    <col min="3861" max="3861" width="7.44140625" style="3" bestFit="1" customWidth="1"/>
    <col min="3862" max="3866" width="9.109375" style="3" bestFit="1" customWidth="1"/>
    <col min="3867" max="4099" width="8.77734375" style="3"/>
    <col min="4100" max="4100" width="4.33203125" style="3" customWidth="1"/>
    <col min="4101" max="4101" width="4" style="3" customWidth="1"/>
    <col min="4102" max="4102" width="4.109375" style="3" customWidth="1"/>
    <col min="4103" max="4103" width="8" style="3" customWidth="1"/>
    <col min="4104" max="4105" width="8.109375" style="3" customWidth="1"/>
    <col min="4106" max="4106" width="9.109375" style="3" customWidth="1"/>
    <col min="4107" max="4107" width="8.77734375" style="3"/>
    <col min="4108" max="4108" width="6.44140625" style="3" customWidth="1"/>
    <col min="4109" max="4109" width="26.109375" style="3" customWidth="1"/>
    <col min="4110" max="4110" width="7.109375" style="3" customWidth="1"/>
    <col min="4111" max="4111" width="11.109375" style="3" customWidth="1"/>
    <col min="4112" max="4112" width="5.109375" style="3" bestFit="1" customWidth="1"/>
    <col min="4113" max="4116" width="8.77734375" style="3"/>
    <col min="4117" max="4117" width="7.44140625" style="3" bestFit="1" customWidth="1"/>
    <col min="4118" max="4122" width="9.109375" style="3" bestFit="1" customWidth="1"/>
    <col min="4123" max="4355" width="8.77734375" style="3"/>
    <col min="4356" max="4356" width="4.33203125" style="3" customWidth="1"/>
    <col min="4357" max="4357" width="4" style="3" customWidth="1"/>
    <col min="4358" max="4358" width="4.109375" style="3" customWidth="1"/>
    <col min="4359" max="4359" width="8" style="3" customWidth="1"/>
    <col min="4360" max="4361" width="8.109375" style="3" customWidth="1"/>
    <col min="4362" max="4362" width="9.109375" style="3" customWidth="1"/>
    <col min="4363" max="4363" width="8.77734375" style="3"/>
    <col min="4364" max="4364" width="6.44140625" style="3" customWidth="1"/>
    <col min="4365" max="4365" width="26.109375" style="3" customWidth="1"/>
    <col min="4366" max="4366" width="7.109375" style="3" customWidth="1"/>
    <col min="4367" max="4367" width="11.109375" style="3" customWidth="1"/>
    <col min="4368" max="4368" width="5.109375" style="3" bestFit="1" customWidth="1"/>
    <col min="4369" max="4372" width="8.77734375" style="3"/>
    <col min="4373" max="4373" width="7.44140625" style="3" bestFit="1" customWidth="1"/>
    <col min="4374" max="4378" width="9.109375" style="3" bestFit="1" customWidth="1"/>
    <col min="4379" max="4611" width="8.77734375" style="3"/>
    <col min="4612" max="4612" width="4.33203125" style="3" customWidth="1"/>
    <col min="4613" max="4613" width="4" style="3" customWidth="1"/>
    <col min="4614" max="4614" width="4.109375" style="3" customWidth="1"/>
    <col min="4615" max="4615" width="8" style="3" customWidth="1"/>
    <col min="4616" max="4617" width="8.109375" style="3" customWidth="1"/>
    <col min="4618" max="4618" width="9.109375" style="3" customWidth="1"/>
    <col min="4619" max="4619" width="8.77734375" style="3"/>
    <col min="4620" max="4620" width="6.44140625" style="3" customWidth="1"/>
    <col min="4621" max="4621" width="26.109375" style="3" customWidth="1"/>
    <col min="4622" max="4622" width="7.109375" style="3" customWidth="1"/>
    <col min="4623" max="4623" width="11.109375" style="3" customWidth="1"/>
    <col min="4624" max="4624" width="5.109375" style="3" bestFit="1" customWidth="1"/>
    <col min="4625" max="4628" width="8.77734375" style="3"/>
    <col min="4629" max="4629" width="7.44140625" style="3" bestFit="1" customWidth="1"/>
    <col min="4630" max="4634" width="9.109375" style="3" bestFit="1" customWidth="1"/>
    <col min="4635" max="4867" width="8.77734375" style="3"/>
    <col min="4868" max="4868" width="4.33203125" style="3" customWidth="1"/>
    <col min="4869" max="4869" width="4" style="3" customWidth="1"/>
    <col min="4870" max="4870" width="4.109375" style="3" customWidth="1"/>
    <col min="4871" max="4871" width="8" style="3" customWidth="1"/>
    <col min="4872" max="4873" width="8.109375" style="3" customWidth="1"/>
    <col min="4874" max="4874" width="9.109375" style="3" customWidth="1"/>
    <col min="4875" max="4875" width="8.77734375" style="3"/>
    <col min="4876" max="4876" width="6.44140625" style="3" customWidth="1"/>
    <col min="4877" max="4877" width="26.109375" style="3" customWidth="1"/>
    <col min="4878" max="4878" width="7.109375" style="3" customWidth="1"/>
    <col min="4879" max="4879" width="11.109375" style="3" customWidth="1"/>
    <col min="4880" max="4880" width="5.109375" style="3" bestFit="1" customWidth="1"/>
    <col min="4881" max="4884" width="8.77734375" style="3"/>
    <col min="4885" max="4885" width="7.44140625" style="3" bestFit="1" customWidth="1"/>
    <col min="4886" max="4890" width="9.109375" style="3" bestFit="1" customWidth="1"/>
    <col min="4891" max="5123" width="8.77734375" style="3"/>
    <col min="5124" max="5124" width="4.33203125" style="3" customWidth="1"/>
    <col min="5125" max="5125" width="4" style="3" customWidth="1"/>
    <col min="5126" max="5126" width="4.109375" style="3" customWidth="1"/>
    <col min="5127" max="5127" width="8" style="3" customWidth="1"/>
    <col min="5128" max="5129" width="8.109375" style="3" customWidth="1"/>
    <col min="5130" max="5130" width="9.109375" style="3" customWidth="1"/>
    <col min="5131" max="5131" width="8.77734375" style="3"/>
    <col min="5132" max="5132" width="6.44140625" style="3" customWidth="1"/>
    <col min="5133" max="5133" width="26.109375" style="3" customWidth="1"/>
    <col min="5134" max="5134" width="7.109375" style="3" customWidth="1"/>
    <col min="5135" max="5135" width="11.109375" style="3" customWidth="1"/>
    <col min="5136" max="5136" width="5.109375" style="3" bestFit="1" customWidth="1"/>
    <col min="5137" max="5140" width="8.77734375" style="3"/>
    <col min="5141" max="5141" width="7.44140625" style="3" bestFit="1" customWidth="1"/>
    <col min="5142" max="5146" width="9.109375" style="3" bestFit="1" customWidth="1"/>
    <col min="5147" max="5379" width="8.77734375" style="3"/>
    <col min="5380" max="5380" width="4.33203125" style="3" customWidth="1"/>
    <col min="5381" max="5381" width="4" style="3" customWidth="1"/>
    <col min="5382" max="5382" width="4.109375" style="3" customWidth="1"/>
    <col min="5383" max="5383" width="8" style="3" customWidth="1"/>
    <col min="5384" max="5385" width="8.109375" style="3" customWidth="1"/>
    <col min="5386" max="5386" width="9.109375" style="3" customWidth="1"/>
    <col min="5387" max="5387" width="8.77734375" style="3"/>
    <col min="5388" max="5388" width="6.44140625" style="3" customWidth="1"/>
    <col min="5389" max="5389" width="26.109375" style="3" customWidth="1"/>
    <col min="5390" max="5390" width="7.109375" style="3" customWidth="1"/>
    <col min="5391" max="5391" width="11.109375" style="3" customWidth="1"/>
    <col min="5392" max="5392" width="5.109375" style="3" bestFit="1" customWidth="1"/>
    <col min="5393" max="5396" width="8.77734375" style="3"/>
    <col min="5397" max="5397" width="7.44140625" style="3" bestFit="1" customWidth="1"/>
    <col min="5398" max="5402" width="9.109375" style="3" bestFit="1" customWidth="1"/>
    <col min="5403" max="5635" width="8.77734375" style="3"/>
    <col min="5636" max="5636" width="4.33203125" style="3" customWidth="1"/>
    <col min="5637" max="5637" width="4" style="3" customWidth="1"/>
    <col min="5638" max="5638" width="4.109375" style="3" customWidth="1"/>
    <col min="5639" max="5639" width="8" style="3" customWidth="1"/>
    <col min="5640" max="5641" width="8.109375" style="3" customWidth="1"/>
    <col min="5642" max="5642" width="9.109375" style="3" customWidth="1"/>
    <col min="5643" max="5643" width="8.77734375" style="3"/>
    <col min="5644" max="5644" width="6.44140625" style="3" customWidth="1"/>
    <col min="5645" max="5645" width="26.109375" style="3" customWidth="1"/>
    <col min="5646" max="5646" width="7.109375" style="3" customWidth="1"/>
    <col min="5647" max="5647" width="11.109375" style="3" customWidth="1"/>
    <col min="5648" max="5648" width="5.109375" style="3" bestFit="1" customWidth="1"/>
    <col min="5649" max="5652" width="8.77734375" style="3"/>
    <col min="5653" max="5653" width="7.44140625" style="3" bestFit="1" customWidth="1"/>
    <col min="5654" max="5658" width="9.109375" style="3" bestFit="1" customWidth="1"/>
    <col min="5659" max="5891" width="8.77734375" style="3"/>
    <col min="5892" max="5892" width="4.33203125" style="3" customWidth="1"/>
    <col min="5893" max="5893" width="4" style="3" customWidth="1"/>
    <col min="5894" max="5894" width="4.109375" style="3" customWidth="1"/>
    <col min="5895" max="5895" width="8" style="3" customWidth="1"/>
    <col min="5896" max="5897" width="8.109375" style="3" customWidth="1"/>
    <col min="5898" max="5898" width="9.109375" style="3" customWidth="1"/>
    <col min="5899" max="5899" width="8.77734375" style="3"/>
    <col min="5900" max="5900" width="6.44140625" style="3" customWidth="1"/>
    <col min="5901" max="5901" width="26.109375" style="3" customWidth="1"/>
    <col min="5902" max="5902" width="7.109375" style="3" customWidth="1"/>
    <col min="5903" max="5903" width="11.109375" style="3" customWidth="1"/>
    <col min="5904" max="5904" width="5.109375" style="3" bestFit="1" customWidth="1"/>
    <col min="5905" max="5908" width="8.77734375" style="3"/>
    <col min="5909" max="5909" width="7.44140625" style="3" bestFit="1" customWidth="1"/>
    <col min="5910" max="5914" width="9.109375" style="3" bestFit="1" customWidth="1"/>
    <col min="5915" max="6147" width="8.77734375" style="3"/>
    <col min="6148" max="6148" width="4.33203125" style="3" customWidth="1"/>
    <col min="6149" max="6149" width="4" style="3" customWidth="1"/>
    <col min="6150" max="6150" width="4.109375" style="3" customWidth="1"/>
    <col min="6151" max="6151" width="8" style="3" customWidth="1"/>
    <col min="6152" max="6153" width="8.109375" style="3" customWidth="1"/>
    <col min="6154" max="6154" width="9.109375" style="3" customWidth="1"/>
    <col min="6155" max="6155" width="8.77734375" style="3"/>
    <col min="6156" max="6156" width="6.44140625" style="3" customWidth="1"/>
    <col min="6157" max="6157" width="26.109375" style="3" customWidth="1"/>
    <col min="6158" max="6158" width="7.109375" style="3" customWidth="1"/>
    <col min="6159" max="6159" width="11.109375" style="3" customWidth="1"/>
    <col min="6160" max="6160" width="5.109375" style="3" bestFit="1" customWidth="1"/>
    <col min="6161" max="6164" width="8.77734375" style="3"/>
    <col min="6165" max="6165" width="7.44140625" style="3" bestFit="1" customWidth="1"/>
    <col min="6166" max="6170" width="9.109375" style="3" bestFit="1" customWidth="1"/>
    <col min="6171" max="6403" width="8.77734375" style="3"/>
    <col min="6404" max="6404" width="4.33203125" style="3" customWidth="1"/>
    <col min="6405" max="6405" width="4" style="3" customWidth="1"/>
    <col min="6406" max="6406" width="4.109375" style="3" customWidth="1"/>
    <col min="6407" max="6407" width="8" style="3" customWidth="1"/>
    <col min="6408" max="6409" width="8.109375" style="3" customWidth="1"/>
    <col min="6410" max="6410" width="9.109375" style="3" customWidth="1"/>
    <col min="6411" max="6411" width="8.77734375" style="3"/>
    <col min="6412" max="6412" width="6.44140625" style="3" customWidth="1"/>
    <col min="6413" max="6413" width="26.109375" style="3" customWidth="1"/>
    <col min="6414" max="6414" width="7.109375" style="3" customWidth="1"/>
    <col min="6415" max="6415" width="11.109375" style="3" customWidth="1"/>
    <col min="6416" max="6416" width="5.109375" style="3" bestFit="1" customWidth="1"/>
    <col min="6417" max="6420" width="8.77734375" style="3"/>
    <col min="6421" max="6421" width="7.44140625" style="3" bestFit="1" customWidth="1"/>
    <col min="6422" max="6426" width="9.109375" style="3" bestFit="1" customWidth="1"/>
    <col min="6427" max="6659" width="8.77734375" style="3"/>
    <col min="6660" max="6660" width="4.33203125" style="3" customWidth="1"/>
    <col min="6661" max="6661" width="4" style="3" customWidth="1"/>
    <col min="6662" max="6662" width="4.109375" style="3" customWidth="1"/>
    <col min="6663" max="6663" width="8" style="3" customWidth="1"/>
    <col min="6664" max="6665" width="8.109375" style="3" customWidth="1"/>
    <col min="6666" max="6666" width="9.109375" style="3" customWidth="1"/>
    <col min="6667" max="6667" width="8.77734375" style="3"/>
    <col min="6668" max="6668" width="6.44140625" style="3" customWidth="1"/>
    <col min="6669" max="6669" width="26.109375" style="3" customWidth="1"/>
    <col min="6670" max="6670" width="7.109375" style="3" customWidth="1"/>
    <col min="6671" max="6671" width="11.109375" style="3" customWidth="1"/>
    <col min="6672" max="6672" width="5.109375" style="3" bestFit="1" customWidth="1"/>
    <col min="6673" max="6676" width="8.77734375" style="3"/>
    <col min="6677" max="6677" width="7.44140625" style="3" bestFit="1" customWidth="1"/>
    <col min="6678" max="6682" width="9.109375" style="3" bestFit="1" customWidth="1"/>
    <col min="6683" max="6915" width="8.77734375" style="3"/>
    <col min="6916" max="6916" width="4.33203125" style="3" customWidth="1"/>
    <col min="6917" max="6917" width="4" style="3" customWidth="1"/>
    <col min="6918" max="6918" width="4.109375" style="3" customWidth="1"/>
    <col min="6919" max="6919" width="8" style="3" customWidth="1"/>
    <col min="6920" max="6921" width="8.109375" style="3" customWidth="1"/>
    <col min="6922" max="6922" width="9.109375" style="3" customWidth="1"/>
    <col min="6923" max="6923" width="8.77734375" style="3"/>
    <col min="6924" max="6924" width="6.44140625" style="3" customWidth="1"/>
    <col min="6925" max="6925" width="26.109375" style="3" customWidth="1"/>
    <col min="6926" max="6926" width="7.109375" style="3" customWidth="1"/>
    <col min="6927" max="6927" width="11.109375" style="3" customWidth="1"/>
    <col min="6928" max="6928" width="5.109375" style="3" bestFit="1" customWidth="1"/>
    <col min="6929" max="6932" width="8.77734375" style="3"/>
    <col min="6933" max="6933" width="7.44140625" style="3" bestFit="1" customWidth="1"/>
    <col min="6934" max="6938" width="9.109375" style="3" bestFit="1" customWidth="1"/>
    <col min="6939" max="7171" width="8.77734375" style="3"/>
    <col min="7172" max="7172" width="4.33203125" style="3" customWidth="1"/>
    <col min="7173" max="7173" width="4" style="3" customWidth="1"/>
    <col min="7174" max="7174" width="4.109375" style="3" customWidth="1"/>
    <col min="7175" max="7175" width="8" style="3" customWidth="1"/>
    <col min="7176" max="7177" width="8.109375" style="3" customWidth="1"/>
    <col min="7178" max="7178" width="9.109375" style="3" customWidth="1"/>
    <col min="7179" max="7179" width="8.77734375" style="3"/>
    <col min="7180" max="7180" width="6.44140625" style="3" customWidth="1"/>
    <col min="7181" max="7181" width="26.109375" style="3" customWidth="1"/>
    <col min="7182" max="7182" width="7.109375" style="3" customWidth="1"/>
    <col min="7183" max="7183" width="11.109375" style="3" customWidth="1"/>
    <col min="7184" max="7184" width="5.109375" style="3" bestFit="1" customWidth="1"/>
    <col min="7185" max="7188" width="8.77734375" style="3"/>
    <col min="7189" max="7189" width="7.44140625" style="3" bestFit="1" customWidth="1"/>
    <col min="7190" max="7194" width="9.109375" style="3" bestFit="1" customWidth="1"/>
    <col min="7195" max="7427" width="8.77734375" style="3"/>
    <col min="7428" max="7428" width="4.33203125" style="3" customWidth="1"/>
    <col min="7429" max="7429" width="4" style="3" customWidth="1"/>
    <col min="7430" max="7430" width="4.109375" style="3" customWidth="1"/>
    <col min="7431" max="7431" width="8" style="3" customWidth="1"/>
    <col min="7432" max="7433" width="8.109375" style="3" customWidth="1"/>
    <col min="7434" max="7434" width="9.109375" style="3" customWidth="1"/>
    <col min="7435" max="7435" width="8.77734375" style="3"/>
    <col min="7436" max="7436" width="6.44140625" style="3" customWidth="1"/>
    <col min="7437" max="7437" width="26.109375" style="3" customWidth="1"/>
    <col min="7438" max="7438" width="7.109375" style="3" customWidth="1"/>
    <col min="7439" max="7439" width="11.109375" style="3" customWidth="1"/>
    <col min="7440" max="7440" width="5.109375" style="3" bestFit="1" customWidth="1"/>
    <col min="7441" max="7444" width="8.77734375" style="3"/>
    <col min="7445" max="7445" width="7.44140625" style="3" bestFit="1" customWidth="1"/>
    <col min="7446" max="7450" width="9.109375" style="3" bestFit="1" customWidth="1"/>
    <col min="7451" max="7683" width="8.77734375" style="3"/>
    <col min="7684" max="7684" width="4.33203125" style="3" customWidth="1"/>
    <col min="7685" max="7685" width="4" style="3" customWidth="1"/>
    <col min="7686" max="7686" width="4.109375" style="3" customWidth="1"/>
    <col min="7687" max="7687" width="8" style="3" customWidth="1"/>
    <col min="7688" max="7689" width="8.109375" style="3" customWidth="1"/>
    <col min="7690" max="7690" width="9.109375" style="3" customWidth="1"/>
    <col min="7691" max="7691" width="8.77734375" style="3"/>
    <col min="7692" max="7692" width="6.44140625" style="3" customWidth="1"/>
    <col min="7693" max="7693" width="26.109375" style="3" customWidth="1"/>
    <col min="7694" max="7694" width="7.109375" style="3" customWidth="1"/>
    <col min="7695" max="7695" width="11.109375" style="3" customWidth="1"/>
    <col min="7696" max="7696" width="5.109375" style="3" bestFit="1" customWidth="1"/>
    <col min="7697" max="7700" width="8.77734375" style="3"/>
    <col min="7701" max="7701" width="7.44140625" style="3" bestFit="1" customWidth="1"/>
    <col min="7702" max="7706" width="9.109375" style="3" bestFit="1" customWidth="1"/>
    <col min="7707" max="7939" width="8.77734375" style="3"/>
    <col min="7940" max="7940" width="4.33203125" style="3" customWidth="1"/>
    <col min="7941" max="7941" width="4" style="3" customWidth="1"/>
    <col min="7942" max="7942" width="4.109375" style="3" customWidth="1"/>
    <col min="7943" max="7943" width="8" style="3" customWidth="1"/>
    <col min="7944" max="7945" width="8.109375" style="3" customWidth="1"/>
    <col min="7946" max="7946" width="9.109375" style="3" customWidth="1"/>
    <col min="7947" max="7947" width="8.77734375" style="3"/>
    <col min="7948" max="7948" width="6.44140625" style="3" customWidth="1"/>
    <col min="7949" max="7949" width="26.109375" style="3" customWidth="1"/>
    <col min="7950" max="7950" width="7.109375" style="3" customWidth="1"/>
    <col min="7951" max="7951" width="11.109375" style="3" customWidth="1"/>
    <col min="7952" max="7952" width="5.109375" style="3" bestFit="1" customWidth="1"/>
    <col min="7953" max="7956" width="8.77734375" style="3"/>
    <col min="7957" max="7957" width="7.44140625" style="3" bestFit="1" customWidth="1"/>
    <col min="7958" max="7962" width="9.109375" style="3" bestFit="1" customWidth="1"/>
    <col min="7963" max="8195" width="8.77734375" style="3"/>
    <col min="8196" max="8196" width="4.33203125" style="3" customWidth="1"/>
    <col min="8197" max="8197" width="4" style="3" customWidth="1"/>
    <col min="8198" max="8198" width="4.109375" style="3" customWidth="1"/>
    <col min="8199" max="8199" width="8" style="3" customWidth="1"/>
    <col min="8200" max="8201" width="8.109375" style="3" customWidth="1"/>
    <col min="8202" max="8202" width="9.109375" style="3" customWidth="1"/>
    <col min="8203" max="8203" width="8.77734375" style="3"/>
    <col min="8204" max="8204" width="6.44140625" style="3" customWidth="1"/>
    <col min="8205" max="8205" width="26.109375" style="3" customWidth="1"/>
    <col min="8206" max="8206" width="7.109375" style="3" customWidth="1"/>
    <col min="8207" max="8207" width="11.109375" style="3" customWidth="1"/>
    <col min="8208" max="8208" width="5.109375" style="3" bestFit="1" customWidth="1"/>
    <col min="8209" max="8212" width="8.77734375" style="3"/>
    <col min="8213" max="8213" width="7.44140625" style="3" bestFit="1" customWidth="1"/>
    <col min="8214" max="8218" width="9.109375" style="3" bestFit="1" customWidth="1"/>
    <col min="8219" max="8451" width="8.77734375" style="3"/>
    <col min="8452" max="8452" width="4.33203125" style="3" customWidth="1"/>
    <col min="8453" max="8453" width="4" style="3" customWidth="1"/>
    <col min="8454" max="8454" width="4.109375" style="3" customWidth="1"/>
    <col min="8455" max="8455" width="8" style="3" customWidth="1"/>
    <col min="8456" max="8457" width="8.109375" style="3" customWidth="1"/>
    <col min="8458" max="8458" width="9.109375" style="3" customWidth="1"/>
    <col min="8459" max="8459" width="8.77734375" style="3"/>
    <col min="8460" max="8460" width="6.44140625" style="3" customWidth="1"/>
    <col min="8461" max="8461" width="26.109375" style="3" customWidth="1"/>
    <col min="8462" max="8462" width="7.109375" style="3" customWidth="1"/>
    <col min="8463" max="8463" width="11.109375" style="3" customWidth="1"/>
    <col min="8464" max="8464" width="5.109375" style="3" bestFit="1" customWidth="1"/>
    <col min="8465" max="8468" width="8.77734375" style="3"/>
    <col min="8469" max="8469" width="7.44140625" style="3" bestFit="1" customWidth="1"/>
    <col min="8470" max="8474" width="9.109375" style="3" bestFit="1" customWidth="1"/>
    <col min="8475" max="8707" width="8.77734375" style="3"/>
    <col min="8708" max="8708" width="4.33203125" style="3" customWidth="1"/>
    <col min="8709" max="8709" width="4" style="3" customWidth="1"/>
    <col min="8710" max="8710" width="4.109375" style="3" customWidth="1"/>
    <col min="8711" max="8711" width="8" style="3" customWidth="1"/>
    <col min="8712" max="8713" width="8.109375" style="3" customWidth="1"/>
    <col min="8714" max="8714" width="9.109375" style="3" customWidth="1"/>
    <col min="8715" max="8715" width="8.77734375" style="3"/>
    <col min="8716" max="8716" width="6.44140625" style="3" customWidth="1"/>
    <col min="8717" max="8717" width="26.109375" style="3" customWidth="1"/>
    <col min="8718" max="8718" width="7.109375" style="3" customWidth="1"/>
    <col min="8719" max="8719" width="11.109375" style="3" customWidth="1"/>
    <col min="8720" max="8720" width="5.109375" style="3" bestFit="1" customWidth="1"/>
    <col min="8721" max="8724" width="8.77734375" style="3"/>
    <col min="8725" max="8725" width="7.44140625" style="3" bestFit="1" customWidth="1"/>
    <col min="8726" max="8730" width="9.109375" style="3" bestFit="1" customWidth="1"/>
    <col min="8731" max="8963" width="8.77734375" style="3"/>
    <col min="8964" max="8964" width="4.33203125" style="3" customWidth="1"/>
    <col min="8965" max="8965" width="4" style="3" customWidth="1"/>
    <col min="8966" max="8966" width="4.109375" style="3" customWidth="1"/>
    <col min="8967" max="8967" width="8" style="3" customWidth="1"/>
    <col min="8968" max="8969" width="8.109375" style="3" customWidth="1"/>
    <col min="8970" max="8970" width="9.109375" style="3" customWidth="1"/>
    <col min="8971" max="8971" width="8.77734375" style="3"/>
    <col min="8972" max="8972" width="6.44140625" style="3" customWidth="1"/>
    <col min="8973" max="8973" width="26.109375" style="3" customWidth="1"/>
    <col min="8974" max="8974" width="7.109375" style="3" customWidth="1"/>
    <col min="8975" max="8975" width="11.109375" style="3" customWidth="1"/>
    <col min="8976" max="8976" width="5.109375" style="3" bestFit="1" customWidth="1"/>
    <col min="8977" max="8980" width="8.77734375" style="3"/>
    <col min="8981" max="8981" width="7.44140625" style="3" bestFit="1" customWidth="1"/>
    <col min="8982" max="8986" width="9.109375" style="3" bestFit="1" customWidth="1"/>
    <col min="8987" max="9219" width="8.77734375" style="3"/>
    <col min="9220" max="9220" width="4.33203125" style="3" customWidth="1"/>
    <col min="9221" max="9221" width="4" style="3" customWidth="1"/>
    <col min="9222" max="9222" width="4.109375" style="3" customWidth="1"/>
    <col min="9223" max="9223" width="8" style="3" customWidth="1"/>
    <col min="9224" max="9225" width="8.109375" style="3" customWidth="1"/>
    <col min="9226" max="9226" width="9.109375" style="3" customWidth="1"/>
    <col min="9227" max="9227" width="8.77734375" style="3"/>
    <col min="9228" max="9228" width="6.44140625" style="3" customWidth="1"/>
    <col min="9229" max="9229" width="26.109375" style="3" customWidth="1"/>
    <col min="9230" max="9230" width="7.109375" style="3" customWidth="1"/>
    <col min="9231" max="9231" width="11.109375" style="3" customWidth="1"/>
    <col min="9232" max="9232" width="5.109375" style="3" bestFit="1" customWidth="1"/>
    <col min="9233" max="9236" width="8.77734375" style="3"/>
    <col min="9237" max="9237" width="7.44140625" style="3" bestFit="1" customWidth="1"/>
    <col min="9238" max="9242" width="9.109375" style="3" bestFit="1" customWidth="1"/>
    <col min="9243" max="9475" width="8.77734375" style="3"/>
    <col min="9476" max="9476" width="4.33203125" style="3" customWidth="1"/>
    <col min="9477" max="9477" width="4" style="3" customWidth="1"/>
    <col min="9478" max="9478" width="4.109375" style="3" customWidth="1"/>
    <col min="9479" max="9479" width="8" style="3" customWidth="1"/>
    <col min="9480" max="9481" width="8.109375" style="3" customWidth="1"/>
    <col min="9482" max="9482" width="9.109375" style="3" customWidth="1"/>
    <col min="9483" max="9483" width="8.77734375" style="3"/>
    <col min="9484" max="9484" width="6.44140625" style="3" customWidth="1"/>
    <col min="9485" max="9485" width="26.109375" style="3" customWidth="1"/>
    <col min="9486" max="9486" width="7.109375" style="3" customWidth="1"/>
    <col min="9487" max="9487" width="11.109375" style="3" customWidth="1"/>
    <col min="9488" max="9488" width="5.109375" style="3" bestFit="1" customWidth="1"/>
    <col min="9489" max="9492" width="8.77734375" style="3"/>
    <col min="9493" max="9493" width="7.44140625" style="3" bestFit="1" customWidth="1"/>
    <col min="9494" max="9498" width="9.109375" style="3" bestFit="1" customWidth="1"/>
    <col min="9499" max="9731" width="8.77734375" style="3"/>
    <col min="9732" max="9732" width="4.33203125" style="3" customWidth="1"/>
    <col min="9733" max="9733" width="4" style="3" customWidth="1"/>
    <col min="9734" max="9734" width="4.109375" style="3" customWidth="1"/>
    <col min="9735" max="9735" width="8" style="3" customWidth="1"/>
    <col min="9736" max="9737" width="8.109375" style="3" customWidth="1"/>
    <col min="9738" max="9738" width="9.109375" style="3" customWidth="1"/>
    <col min="9739" max="9739" width="8.77734375" style="3"/>
    <col min="9740" max="9740" width="6.44140625" style="3" customWidth="1"/>
    <col min="9741" max="9741" width="26.109375" style="3" customWidth="1"/>
    <col min="9742" max="9742" width="7.109375" style="3" customWidth="1"/>
    <col min="9743" max="9743" width="11.109375" style="3" customWidth="1"/>
    <col min="9744" max="9744" width="5.109375" style="3" bestFit="1" customWidth="1"/>
    <col min="9745" max="9748" width="8.77734375" style="3"/>
    <col min="9749" max="9749" width="7.44140625" style="3" bestFit="1" customWidth="1"/>
    <col min="9750" max="9754" width="9.109375" style="3" bestFit="1" customWidth="1"/>
    <col min="9755" max="9987" width="8.77734375" style="3"/>
    <col min="9988" max="9988" width="4.33203125" style="3" customWidth="1"/>
    <col min="9989" max="9989" width="4" style="3" customWidth="1"/>
    <col min="9990" max="9990" width="4.109375" style="3" customWidth="1"/>
    <col min="9991" max="9991" width="8" style="3" customWidth="1"/>
    <col min="9992" max="9993" width="8.109375" style="3" customWidth="1"/>
    <col min="9994" max="9994" width="9.109375" style="3" customWidth="1"/>
    <col min="9995" max="9995" width="8.77734375" style="3"/>
    <col min="9996" max="9996" width="6.44140625" style="3" customWidth="1"/>
    <col min="9997" max="9997" width="26.109375" style="3" customWidth="1"/>
    <col min="9998" max="9998" width="7.109375" style="3" customWidth="1"/>
    <col min="9999" max="9999" width="11.109375" style="3" customWidth="1"/>
    <col min="10000" max="10000" width="5.109375" style="3" bestFit="1" customWidth="1"/>
    <col min="10001" max="10004" width="8.77734375" style="3"/>
    <col min="10005" max="10005" width="7.44140625" style="3" bestFit="1" customWidth="1"/>
    <col min="10006" max="10010" width="9.109375" style="3" bestFit="1" customWidth="1"/>
    <col min="10011" max="10243" width="8.77734375" style="3"/>
    <col min="10244" max="10244" width="4.33203125" style="3" customWidth="1"/>
    <col min="10245" max="10245" width="4" style="3" customWidth="1"/>
    <col min="10246" max="10246" width="4.109375" style="3" customWidth="1"/>
    <col min="10247" max="10247" width="8" style="3" customWidth="1"/>
    <col min="10248" max="10249" width="8.109375" style="3" customWidth="1"/>
    <col min="10250" max="10250" width="9.109375" style="3" customWidth="1"/>
    <col min="10251" max="10251" width="8.77734375" style="3"/>
    <col min="10252" max="10252" width="6.44140625" style="3" customWidth="1"/>
    <col min="10253" max="10253" width="26.109375" style="3" customWidth="1"/>
    <col min="10254" max="10254" width="7.109375" style="3" customWidth="1"/>
    <col min="10255" max="10255" width="11.109375" style="3" customWidth="1"/>
    <col min="10256" max="10256" width="5.109375" style="3" bestFit="1" customWidth="1"/>
    <col min="10257" max="10260" width="8.77734375" style="3"/>
    <col min="10261" max="10261" width="7.44140625" style="3" bestFit="1" customWidth="1"/>
    <col min="10262" max="10266" width="9.109375" style="3" bestFit="1" customWidth="1"/>
    <col min="10267" max="10499" width="8.77734375" style="3"/>
    <col min="10500" max="10500" width="4.33203125" style="3" customWidth="1"/>
    <col min="10501" max="10501" width="4" style="3" customWidth="1"/>
    <col min="10502" max="10502" width="4.109375" style="3" customWidth="1"/>
    <col min="10503" max="10503" width="8" style="3" customWidth="1"/>
    <col min="10504" max="10505" width="8.109375" style="3" customWidth="1"/>
    <col min="10506" max="10506" width="9.109375" style="3" customWidth="1"/>
    <col min="10507" max="10507" width="8.77734375" style="3"/>
    <col min="10508" max="10508" width="6.44140625" style="3" customWidth="1"/>
    <col min="10509" max="10509" width="26.109375" style="3" customWidth="1"/>
    <col min="10510" max="10510" width="7.109375" style="3" customWidth="1"/>
    <col min="10511" max="10511" width="11.109375" style="3" customWidth="1"/>
    <col min="10512" max="10512" width="5.109375" style="3" bestFit="1" customWidth="1"/>
    <col min="10513" max="10516" width="8.77734375" style="3"/>
    <col min="10517" max="10517" width="7.44140625" style="3" bestFit="1" customWidth="1"/>
    <col min="10518" max="10522" width="9.109375" style="3" bestFit="1" customWidth="1"/>
    <col min="10523" max="10755" width="8.77734375" style="3"/>
    <col min="10756" max="10756" width="4.33203125" style="3" customWidth="1"/>
    <col min="10757" max="10757" width="4" style="3" customWidth="1"/>
    <col min="10758" max="10758" width="4.109375" style="3" customWidth="1"/>
    <col min="10759" max="10759" width="8" style="3" customWidth="1"/>
    <col min="10760" max="10761" width="8.109375" style="3" customWidth="1"/>
    <col min="10762" max="10762" width="9.109375" style="3" customWidth="1"/>
    <col min="10763" max="10763" width="8.77734375" style="3"/>
    <col min="10764" max="10764" width="6.44140625" style="3" customWidth="1"/>
    <col min="10765" max="10765" width="26.109375" style="3" customWidth="1"/>
    <col min="10766" max="10766" width="7.109375" style="3" customWidth="1"/>
    <col min="10767" max="10767" width="11.109375" style="3" customWidth="1"/>
    <col min="10768" max="10768" width="5.109375" style="3" bestFit="1" customWidth="1"/>
    <col min="10769" max="10772" width="8.77734375" style="3"/>
    <col min="10773" max="10773" width="7.44140625" style="3" bestFit="1" customWidth="1"/>
    <col min="10774" max="10778" width="9.109375" style="3" bestFit="1" customWidth="1"/>
    <col min="10779" max="11011" width="8.77734375" style="3"/>
    <col min="11012" max="11012" width="4.33203125" style="3" customWidth="1"/>
    <col min="11013" max="11013" width="4" style="3" customWidth="1"/>
    <col min="11014" max="11014" width="4.109375" style="3" customWidth="1"/>
    <col min="11015" max="11015" width="8" style="3" customWidth="1"/>
    <col min="11016" max="11017" width="8.109375" style="3" customWidth="1"/>
    <col min="11018" max="11018" width="9.109375" style="3" customWidth="1"/>
    <col min="11019" max="11019" width="8.77734375" style="3"/>
    <col min="11020" max="11020" width="6.44140625" style="3" customWidth="1"/>
    <col min="11021" max="11021" width="26.109375" style="3" customWidth="1"/>
    <col min="11022" max="11022" width="7.109375" style="3" customWidth="1"/>
    <col min="11023" max="11023" width="11.109375" style="3" customWidth="1"/>
    <col min="11024" max="11024" width="5.109375" style="3" bestFit="1" customWidth="1"/>
    <col min="11025" max="11028" width="8.77734375" style="3"/>
    <col min="11029" max="11029" width="7.44140625" style="3" bestFit="1" customWidth="1"/>
    <col min="11030" max="11034" width="9.109375" style="3" bestFit="1" customWidth="1"/>
    <col min="11035" max="11267" width="8.77734375" style="3"/>
    <col min="11268" max="11268" width="4.33203125" style="3" customWidth="1"/>
    <col min="11269" max="11269" width="4" style="3" customWidth="1"/>
    <col min="11270" max="11270" width="4.109375" style="3" customWidth="1"/>
    <col min="11271" max="11271" width="8" style="3" customWidth="1"/>
    <col min="11272" max="11273" width="8.109375" style="3" customWidth="1"/>
    <col min="11274" max="11274" width="9.109375" style="3" customWidth="1"/>
    <col min="11275" max="11275" width="8.77734375" style="3"/>
    <col min="11276" max="11276" width="6.44140625" style="3" customWidth="1"/>
    <col min="11277" max="11277" width="26.109375" style="3" customWidth="1"/>
    <col min="11278" max="11278" width="7.109375" style="3" customWidth="1"/>
    <col min="11279" max="11279" width="11.109375" style="3" customWidth="1"/>
    <col min="11280" max="11280" width="5.109375" style="3" bestFit="1" customWidth="1"/>
    <col min="11281" max="11284" width="8.77734375" style="3"/>
    <col min="11285" max="11285" width="7.44140625" style="3" bestFit="1" customWidth="1"/>
    <col min="11286" max="11290" width="9.109375" style="3" bestFit="1" customWidth="1"/>
    <col min="11291" max="11523" width="8.77734375" style="3"/>
    <col min="11524" max="11524" width="4.33203125" style="3" customWidth="1"/>
    <col min="11525" max="11525" width="4" style="3" customWidth="1"/>
    <col min="11526" max="11526" width="4.109375" style="3" customWidth="1"/>
    <col min="11527" max="11527" width="8" style="3" customWidth="1"/>
    <col min="11528" max="11529" width="8.109375" style="3" customWidth="1"/>
    <col min="11530" max="11530" width="9.109375" style="3" customWidth="1"/>
    <col min="11531" max="11531" width="8.77734375" style="3"/>
    <col min="11532" max="11532" width="6.44140625" style="3" customWidth="1"/>
    <col min="11533" max="11533" width="26.109375" style="3" customWidth="1"/>
    <col min="11534" max="11534" width="7.109375" style="3" customWidth="1"/>
    <col min="11535" max="11535" width="11.109375" style="3" customWidth="1"/>
    <col min="11536" max="11536" width="5.109375" style="3" bestFit="1" customWidth="1"/>
    <col min="11537" max="11540" width="8.77734375" style="3"/>
    <col min="11541" max="11541" width="7.44140625" style="3" bestFit="1" customWidth="1"/>
    <col min="11542" max="11546" width="9.109375" style="3" bestFit="1" customWidth="1"/>
    <col min="11547" max="11779" width="8.77734375" style="3"/>
    <col min="11780" max="11780" width="4.33203125" style="3" customWidth="1"/>
    <col min="11781" max="11781" width="4" style="3" customWidth="1"/>
    <col min="11782" max="11782" width="4.109375" style="3" customWidth="1"/>
    <col min="11783" max="11783" width="8" style="3" customWidth="1"/>
    <col min="11784" max="11785" width="8.109375" style="3" customWidth="1"/>
    <col min="11786" max="11786" width="9.109375" style="3" customWidth="1"/>
    <col min="11787" max="11787" width="8.77734375" style="3"/>
    <col min="11788" max="11788" width="6.44140625" style="3" customWidth="1"/>
    <col min="11789" max="11789" width="26.109375" style="3" customWidth="1"/>
    <col min="11790" max="11790" width="7.109375" style="3" customWidth="1"/>
    <col min="11791" max="11791" width="11.109375" style="3" customWidth="1"/>
    <col min="11792" max="11792" width="5.109375" style="3" bestFit="1" customWidth="1"/>
    <col min="11793" max="11796" width="8.77734375" style="3"/>
    <col min="11797" max="11797" width="7.44140625" style="3" bestFit="1" customWidth="1"/>
    <col min="11798" max="11802" width="9.109375" style="3" bestFit="1" customWidth="1"/>
    <col min="11803" max="12035" width="8.77734375" style="3"/>
    <col min="12036" max="12036" width="4.33203125" style="3" customWidth="1"/>
    <col min="12037" max="12037" width="4" style="3" customWidth="1"/>
    <col min="12038" max="12038" width="4.109375" style="3" customWidth="1"/>
    <col min="12039" max="12039" width="8" style="3" customWidth="1"/>
    <col min="12040" max="12041" width="8.109375" style="3" customWidth="1"/>
    <col min="12042" max="12042" width="9.109375" style="3" customWidth="1"/>
    <col min="12043" max="12043" width="8.77734375" style="3"/>
    <col min="12044" max="12044" width="6.44140625" style="3" customWidth="1"/>
    <col min="12045" max="12045" width="26.109375" style="3" customWidth="1"/>
    <col min="12046" max="12046" width="7.109375" style="3" customWidth="1"/>
    <col min="12047" max="12047" width="11.109375" style="3" customWidth="1"/>
    <col min="12048" max="12048" width="5.109375" style="3" bestFit="1" customWidth="1"/>
    <col min="12049" max="12052" width="8.77734375" style="3"/>
    <col min="12053" max="12053" width="7.44140625" style="3" bestFit="1" customWidth="1"/>
    <col min="12054" max="12058" width="9.109375" style="3" bestFit="1" customWidth="1"/>
    <col min="12059" max="12291" width="8.77734375" style="3"/>
    <col min="12292" max="12292" width="4.33203125" style="3" customWidth="1"/>
    <col min="12293" max="12293" width="4" style="3" customWidth="1"/>
    <col min="12294" max="12294" width="4.109375" style="3" customWidth="1"/>
    <col min="12295" max="12295" width="8" style="3" customWidth="1"/>
    <col min="12296" max="12297" width="8.109375" style="3" customWidth="1"/>
    <col min="12298" max="12298" width="9.109375" style="3" customWidth="1"/>
    <col min="12299" max="12299" width="8.77734375" style="3"/>
    <col min="12300" max="12300" width="6.44140625" style="3" customWidth="1"/>
    <col min="12301" max="12301" width="26.109375" style="3" customWidth="1"/>
    <col min="12302" max="12302" width="7.109375" style="3" customWidth="1"/>
    <col min="12303" max="12303" width="11.109375" style="3" customWidth="1"/>
    <col min="12304" max="12304" width="5.109375" style="3" bestFit="1" customWidth="1"/>
    <col min="12305" max="12308" width="8.77734375" style="3"/>
    <col min="12309" max="12309" width="7.44140625" style="3" bestFit="1" customWidth="1"/>
    <col min="12310" max="12314" width="9.109375" style="3" bestFit="1" customWidth="1"/>
    <col min="12315" max="12547" width="8.77734375" style="3"/>
    <col min="12548" max="12548" width="4.33203125" style="3" customWidth="1"/>
    <col min="12549" max="12549" width="4" style="3" customWidth="1"/>
    <col min="12550" max="12550" width="4.109375" style="3" customWidth="1"/>
    <col min="12551" max="12551" width="8" style="3" customWidth="1"/>
    <col min="12552" max="12553" width="8.109375" style="3" customWidth="1"/>
    <col min="12554" max="12554" width="9.109375" style="3" customWidth="1"/>
    <col min="12555" max="12555" width="8.77734375" style="3"/>
    <col min="12556" max="12556" width="6.44140625" style="3" customWidth="1"/>
    <col min="12557" max="12557" width="26.109375" style="3" customWidth="1"/>
    <col min="12558" max="12558" width="7.109375" style="3" customWidth="1"/>
    <col min="12559" max="12559" width="11.109375" style="3" customWidth="1"/>
    <col min="12560" max="12560" width="5.109375" style="3" bestFit="1" customWidth="1"/>
    <col min="12561" max="12564" width="8.77734375" style="3"/>
    <col min="12565" max="12565" width="7.44140625" style="3" bestFit="1" customWidth="1"/>
    <col min="12566" max="12570" width="9.109375" style="3" bestFit="1" customWidth="1"/>
    <col min="12571" max="12803" width="8.77734375" style="3"/>
    <col min="12804" max="12804" width="4.33203125" style="3" customWidth="1"/>
    <col min="12805" max="12805" width="4" style="3" customWidth="1"/>
    <col min="12806" max="12806" width="4.109375" style="3" customWidth="1"/>
    <col min="12807" max="12807" width="8" style="3" customWidth="1"/>
    <col min="12808" max="12809" width="8.109375" style="3" customWidth="1"/>
    <col min="12810" max="12810" width="9.109375" style="3" customWidth="1"/>
    <col min="12811" max="12811" width="8.77734375" style="3"/>
    <col min="12812" max="12812" width="6.44140625" style="3" customWidth="1"/>
    <col min="12813" max="12813" width="26.109375" style="3" customWidth="1"/>
    <col min="12814" max="12814" width="7.109375" style="3" customWidth="1"/>
    <col min="12815" max="12815" width="11.109375" style="3" customWidth="1"/>
    <col min="12816" max="12816" width="5.109375" style="3" bestFit="1" customWidth="1"/>
    <col min="12817" max="12820" width="8.77734375" style="3"/>
    <col min="12821" max="12821" width="7.44140625" style="3" bestFit="1" customWidth="1"/>
    <col min="12822" max="12826" width="9.109375" style="3" bestFit="1" customWidth="1"/>
    <col min="12827" max="13059" width="8.77734375" style="3"/>
    <col min="13060" max="13060" width="4.33203125" style="3" customWidth="1"/>
    <col min="13061" max="13061" width="4" style="3" customWidth="1"/>
    <col min="13062" max="13062" width="4.109375" style="3" customWidth="1"/>
    <col min="13063" max="13063" width="8" style="3" customWidth="1"/>
    <col min="13064" max="13065" width="8.109375" style="3" customWidth="1"/>
    <col min="13066" max="13066" width="9.109375" style="3" customWidth="1"/>
    <col min="13067" max="13067" width="8.77734375" style="3"/>
    <col min="13068" max="13068" width="6.44140625" style="3" customWidth="1"/>
    <col min="13069" max="13069" width="26.109375" style="3" customWidth="1"/>
    <col min="13070" max="13070" width="7.109375" style="3" customWidth="1"/>
    <col min="13071" max="13071" width="11.109375" style="3" customWidth="1"/>
    <col min="13072" max="13072" width="5.109375" style="3" bestFit="1" customWidth="1"/>
    <col min="13073" max="13076" width="8.77734375" style="3"/>
    <col min="13077" max="13077" width="7.44140625" style="3" bestFit="1" customWidth="1"/>
    <col min="13078" max="13082" width="9.109375" style="3" bestFit="1" customWidth="1"/>
    <col min="13083" max="13315" width="8.77734375" style="3"/>
    <col min="13316" max="13316" width="4.33203125" style="3" customWidth="1"/>
    <col min="13317" max="13317" width="4" style="3" customWidth="1"/>
    <col min="13318" max="13318" width="4.109375" style="3" customWidth="1"/>
    <col min="13319" max="13319" width="8" style="3" customWidth="1"/>
    <col min="13320" max="13321" width="8.109375" style="3" customWidth="1"/>
    <col min="13322" max="13322" width="9.109375" style="3" customWidth="1"/>
    <col min="13323" max="13323" width="8.77734375" style="3"/>
    <col min="13324" max="13324" width="6.44140625" style="3" customWidth="1"/>
    <col min="13325" max="13325" width="26.109375" style="3" customWidth="1"/>
    <col min="13326" max="13326" width="7.109375" style="3" customWidth="1"/>
    <col min="13327" max="13327" width="11.109375" style="3" customWidth="1"/>
    <col min="13328" max="13328" width="5.109375" style="3" bestFit="1" customWidth="1"/>
    <col min="13329" max="13332" width="8.77734375" style="3"/>
    <col min="13333" max="13333" width="7.44140625" style="3" bestFit="1" customWidth="1"/>
    <col min="13334" max="13338" width="9.109375" style="3" bestFit="1" customWidth="1"/>
    <col min="13339" max="13571" width="8.77734375" style="3"/>
    <col min="13572" max="13572" width="4.33203125" style="3" customWidth="1"/>
    <col min="13573" max="13573" width="4" style="3" customWidth="1"/>
    <col min="13574" max="13574" width="4.109375" style="3" customWidth="1"/>
    <col min="13575" max="13575" width="8" style="3" customWidth="1"/>
    <col min="13576" max="13577" width="8.109375" style="3" customWidth="1"/>
    <col min="13578" max="13578" width="9.109375" style="3" customWidth="1"/>
    <col min="13579" max="13579" width="8.77734375" style="3"/>
    <col min="13580" max="13580" width="6.44140625" style="3" customWidth="1"/>
    <col min="13581" max="13581" width="26.109375" style="3" customWidth="1"/>
    <col min="13582" max="13582" width="7.109375" style="3" customWidth="1"/>
    <col min="13583" max="13583" width="11.109375" style="3" customWidth="1"/>
    <col min="13584" max="13584" width="5.109375" style="3" bestFit="1" customWidth="1"/>
    <col min="13585" max="13588" width="8.77734375" style="3"/>
    <col min="13589" max="13589" width="7.44140625" style="3" bestFit="1" customWidth="1"/>
    <col min="13590" max="13594" width="9.109375" style="3" bestFit="1" customWidth="1"/>
    <col min="13595" max="13827" width="8.77734375" style="3"/>
    <col min="13828" max="13828" width="4.33203125" style="3" customWidth="1"/>
    <col min="13829" max="13829" width="4" style="3" customWidth="1"/>
    <col min="13830" max="13830" width="4.109375" style="3" customWidth="1"/>
    <col min="13831" max="13831" width="8" style="3" customWidth="1"/>
    <col min="13832" max="13833" width="8.109375" style="3" customWidth="1"/>
    <col min="13834" max="13834" width="9.109375" style="3" customWidth="1"/>
    <col min="13835" max="13835" width="8.77734375" style="3"/>
    <col min="13836" max="13836" width="6.44140625" style="3" customWidth="1"/>
    <col min="13837" max="13837" width="26.109375" style="3" customWidth="1"/>
    <col min="13838" max="13838" width="7.109375" style="3" customWidth="1"/>
    <col min="13839" max="13839" width="11.109375" style="3" customWidth="1"/>
    <col min="13840" max="13840" width="5.109375" style="3" bestFit="1" customWidth="1"/>
    <col min="13841" max="13844" width="8.77734375" style="3"/>
    <col min="13845" max="13845" width="7.44140625" style="3" bestFit="1" customWidth="1"/>
    <col min="13846" max="13850" width="9.109375" style="3" bestFit="1" customWidth="1"/>
    <col min="13851" max="14083" width="8.77734375" style="3"/>
    <col min="14084" max="14084" width="4.33203125" style="3" customWidth="1"/>
    <col min="14085" max="14085" width="4" style="3" customWidth="1"/>
    <col min="14086" max="14086" width="4.109375" style="3" customWidth="1"/>
    <col min="14087" max="14087" width="8" style="3" customWidth="1"/>
    <col min="14088" max="14089" width="8.109375" style="3" customWidth="1"/>
    <col min="14090" max="14090" width="9.109375" style="3" customWidth="1"/>
    <col min="14091" max="14091" width="8.77734375" style="3"/>
    <col min="14092" max="14092" width="6.44140625" style="3" customWidth="1"/>
    <col min="14093" max="14093" width="26.109375" style="3" customWidth="1"/>
    <col min="14094" max="14094" width="7.109375" style="3" customWidth="1"/>
    <col min="14095" max="14095" width="11.109375" style="3" customWidth="1"/>
    <col min="14096" max="14096" width="5.109375" style="3" bestFit="1" customWidth="1"/>
    <col min="14097" max="14100" width="8.77734375" style="3"/>
    <col min="14101" max="14101" width="7.44140625" style="3" bestFit="1" customWidth="1"/>
    <col min="14102" max="14106" width="9.109375" style="3" bestFit="1" customWidth="1"/>
    <col min="14107" max="14339" width="8.77734375" style="3"/>
    <col min="14340" max="14340" width="4.33203125" style="3" customWidth="1"/>
    <col min="14341" max="14341" width="4" style="3" customWidth="1"/>
    <col min="14342" max="14342" width="4.109375" style="3" customWidth="1"/>
    <col min="14343" max="14343" width="8" style="3" customWidth="1"/>
    <col min="14344" max="14345" width="8.109375" style="3" customWidth="1"/>
    <col min="14346" max="14346" width="9.109375" style="3" customWidth="1"/>
    <col min="14347" max="14347" width="8.77734375" style="3"/>
    <col min="14348" max="14348" width="6.44140625" style="3" customWidth="1"/>
    <col min="14349" max="14349" width="26.109375" style="3" customWidth="1"/>
    <col min="14350" max="14350" width="7.109375" style="3" customWidth="1"/>
    <col min="14351" max="14351" width="11.109375" style="3" customWidth="1"/>
    <col min="14352" max="14352" width="5.109375" style="3" bestFit="1" customWidth="1"/>
    <col min="14353" max="14356" width="8.77734375" style="3"/>
    <col min="14357" max="14357" width="7.44140625" style="3" bestFit="1" customWidth="1"/>
    <col min="14358" max="14362" width="9.109375" style="3" bestFit="1" customWidth="1"/>
    <col min="14363" max="14595" width="8.77734375" style="3"/>
    <col min="14596" max="14596" width="4.33203125" style="3" customWidth="1"/>
    <col min="14597" max="14597" width="4" style="3" customWidth="1"/>
    <col min="14598" max="14598" width="4.109375" style="3" customWidth="1"/>
    <col min="14599" max="14599" width="8" style="3" customWidth="1"/>
    <col min="14600" max="14601" width="8.109375" style="3" customWidth="1"/>
    <col min="14602" max="14602" width="9.109375" style="3" customWidth="1"/>
    <col min="14603" max="14603" width="8.77734375" style="3"/>
    <col min="14604" max="14604" width="6.44140625" style="3" customWidth="1"/>
    <col min="14605" max="14605" width="26.109375" style="3" customWidth="1"/>
    <col min="14606" max="14606" width="7.109375" style="3" customWidth="1"/>
    <col min="14607" max="14607" width="11.109375" style="3" customWidth="1"/>
    <col min="14608" max="14608" width="5.109375" style="3" bestFit="1" customWidth="1"/>
    <col min="14609" max="14612" width="8.77734375" style="3"/>
    <col min="14613" max="14613" width="7.44140625" style="3" bestFit="1" customWidth="1"/>
    <col min="14614" max="14618" width="9.109375" style="3" bestFit="1" customWidth="1"/>
    <col min="14619" max="14851" width="8.77734375" style="3"/>
    <col min="14852" max="14852" width="4.33203125" style="3" customWidth="1"/>
    <col min="14853" max="14853" width="4" style="3" customWidth="1"/>
    <col min="14854" max="14854" width="4.109375" style="3" customWidth="1"/>
    <col min="14855" max="14855" width="8" style="3" customWidth="1"/>
    <col min="14856" max="14857" width="8.109375" style="3" customWidth="1"/>
    <col min="14858" max="14858" width="9.109375" style="3" customWidth="1"/>
    <col min="14859" max="14859" width="8.77734375" style="3"/>
    <col min="14860" max="14860" width="6.44140625" style="3" customWidth="1"/>
    <col min="14861" max="14861" width="26.109375" style="3" customWidth="1"/>
    <col min="14862" max="14862" width="7.109375" style="3" customWidth="1"/>
    <col min="14863" max="14863" width="11.109375" style="3" customWidth="1"/>
    <col min="14864" max="14864" width="5.109375" style="3" bestFit="1" customWidth="1"/>
    <col min="14865" max="14868" width="8.77734375" style="3"/>
    <col min="14869" max="14869" width="7.44140625" style="3" bestFit="1" customWidth="1"/>
    <col min="14870" max="14874" width="9.109375" style="3" bestFit="1" customWidth="1"/>
    <col min="14875" max="15107" width="8.77734375" style="3"/>
    <col min="15108" max="15108" width="4.33203125" style="3" customWidth="1"/>
    <col min="15109" max="15109" width="4" style="3" customWidth="1"/>
    <col min="15110" max="15110" width="4.109375" style="3" customWidth="1"/>
    <col min="15111" max="15111" width="8" style="3" customWidth="1"/>
    <col min="15112" max="15113" width="8.109375" style="3" customWidth="1"/>
    <col min="15114" max="15114" width="9.109375" style="3" customWidth="1"/>
    <col min="15115" max="15115" width="8.77734375" style="3"/>
    <col min="15116" max="15116" width="6.44140625" style="3" customWidth="1"/>
    <col min="15117" max="15117" width="26.109375" style="3" customWidth="1"/>
    <col min="15118" max="15118" width="7.109375" style="3" customWidth="1"/>
    <col min="15119" max="15119" width="11.109375" style="3" customWidth="1"/>
    <col min="15120" max="15120" width="5.109375" style="3" bestFit="1" customWidth="1"/>
    <col min="15121" max="15124" width="8.77734375" style="3"/>
    <col min="15125" max="15125" width="7.44140625" style="3" bestFit="1" customWidth="1"/>
    <col min="15126" max="15130" width="9.109375" style="3" bestFit="1" customWidth="1"/>
    <col min="15131" max="15363" width="8.77734375" style="3"/>
    <col min="15364" max="15364" width="4.33203125" style="3" customWidth="1"/>
    <col min="15365" max="15365" width="4" style="3" customWidth="1"/>
    <col min="15366" max="15366" width="4.109375" style="3" customWidth="1"/>
    <col min="15367" max="15367" width="8" style="3" customWidth="1"/>
    <col min="15368" max="15369" width="8.109375" style="3" customWidth="1"/>
    <col min="15370" max="15370" width="9.109375" style="3" customWidth="1"/>
    <col min="15371" max="15371" width="8.77734375" style="3"/>
    <col min="15372" max="15372" width="6.44140625" style="3" customWidth="1"/>
    <col min="15373" max="15373" width="26.109375" style="3" customWidth="1"/>
    <col min="15374" max="15374" width="7.109375" style="3" customWidth="1"/>
    <col min="15375" max="15375" width="11.109375" style="3" customWidth="1"/>
    <col min="15376" max="15376" width="5.109375" style="3" bestFit="1" customWidth="1"/>
    <col min="15377" max="15380" width="8.77734375" style="3"/>
    <col min="15381" max="15381" width="7.44140625" style="3" bestFit="1" customWidth="1"/>
    <col min="15382" max="15386" width="9.109375" style="3" bestFit="1" customWidth="1"/>
    <col min="15387" max="15619" width="8.77734375" style="3"/>
    <col min="15620" max="15620" width="4.33203125" style="3" customWidth="1"/>
    <col min="15621" max="15621" width="4" style="3" customWidth="1"/>
    <col min="15622" max="15622" width="4.109375" style="3" customWidth="1"/>
    <col min="15623" max="15623" width="8" style="3" customWidth="1"/>
    <col min="15624" max="15625" width="8.109375" style="3" customWidth="1"/>
    <col min="15626" max="15626" width="9.109375" style="3" customWidth="1"/>
    <col min="15627" max="15627" width="8.77734375" style="3"/>
    <col min="15628" max="15628" width="6.44140625" style="3" customWidth="1"/>
    <col min="15629" max="15629" width="26.109375" style="3" customWidth="1"/>
    <col min="15630" max="15630" width="7.109375" style="3" customWidth="1"/>
    <col min="15631" max="15631" width="11.109375" style="3" customWidth="1"/>
    <col min="15632" max="15632" width="5.109375" style="3" bestFit="1" customWidth="1"/>
    <col min="15633" max="15636" width="8.77734375" style="3"/>
    <col min="15637" max="15637" width="7.44140625" style="3" bestFit="1" customWidth="1"/>
    <col min="15638" max="15642" width="9.109375" style="3" bestFit="1" customWidth="1"/>
    <col min="15643" max="15875" width="8.77734375" style="3"/>
    <col min="15876" max="15876" width="4.33203125" style="3" customWidth="1"/>
    <col min="15877" max="15877" width="4" style="3" customWidth="1"/>
    <col min="15878" max="15878" width="4.109375" style="3" customWidth="1"/>
    <col min="15879" max="15879" width="8" style="3" customWidth="1"/>
    <col min="15880" max="15881" width="8.109375" style="3" customWidth="1"/>
    <col min="15882" max="15882" width="9.109375" style="3" customWidth="1"/>
    <col min="15883" max="15883" width="8.77734375" style="3"/>
    <col min="15884" max="15884" width="6.44140625" style="3" customWidth="1"/>
    <col min="15885" max="15885" width="26.109375" style="3" customWidth="1"/>
    <col min="15886" max="15886" width="7.109375" style="3" customWidth="1"/>
    <col min="15887" max="15887" width="11.109375" style="3" customWidth="1"/>
    <col min="15888" max="15888" width="5.109375" style="3" bestFit="1" customWidth="1"/>
    <col min="15889" max="15892" width="8.77734375" style="3"/>
    <col min="15893" max="15893" width="7.44140625" style="3" bestFit="1" customWidth="1"/>
    <col min="15894" max="15898" width="9.109375" style="3" bestFit="1" customWidth="1"/>
    <col min="15899" max="16131" width="8.77734375" style="3"/>
    <col min="16132" max="16132" width="4.33203125" style="3" customWidth="1"/>
    <col min="16133" max="16133" width="4" style="3" customWidth="1"/>
    <col min="16134" max="16134" width="4.109375" style="3" customWidth="1"/>
    <col min="16135" max="16135" width="8" style="3" customWidth="1"/>
    <col min="16136" max="16137" width="8.109375" style="3" customWidth="1"/>
    <col min="16138" max="16138" width="9.109375" style="3" customWidth="1"/>
    <col min="16139" max="16139" width="8.77734375" style="3"/>
    <col min="16140" max="16140" width="6.44140625" style="3" customWidth="1"/>
    <col min="16141" max="16141" width="26.109375" style="3" customWidth="1"/>
    <col min="16142" max="16142" width="7.109375" style="3" customWidth="1"/>
    <col min="16143" max="16143" width="11.109375" style="3" customWidth="1"/>
    <col min="16144" max="16144" width="5.109375" style="3" bestFit="1" customWidth="1"/>
    <col min="16145" max="16148" width="8.77734375" style="3"/>
    <col min="16149" max="16149" width="7.44140625" style="3" bestFit="1" customWidth="1"/>
    <col min="16150" max="16154" width="9.109375" style="3" bestFit="1" customWidth="1"/>
    <col min="16155" max="16384" width="8.77734375" style="3"/>
  </cols>
  <sheetData>
    <row r="1" spans="1:28" s="74" customFormat="1" ht="25.05" customHeight="1" x14ac:dyDescent="0.2">
      <c r="A1" s="144" t="s">
        <v>67</v>
      </c>
      <c r="B1" s="145"/>
      <c r="C1" s="145"/>
      <c r="D1" s="145" t="s">
        <v>68</v>
      </c>
      <c r="E1" s="146"/>
      <c r="F1" s="146"/>
      <c r="G1" s="146"/>
      <c r="H1" s="146"/>
      <c r="I1" s="146"/>
      <c r="J1" s="146"/>
      <c r="O1" s="76"/>
    </row>
    <row r="2" spans="1:28" s="74" customFormat="1" ht="25.05" customHeight="1" x14ac:dyDescent="0.2">
      <c r="A2" s="144" t="s">
        <v>88</v>
      </c>
      <c r="B2" s="147"/>
      <c r="C2" s="147"/>
      <c r="D2" s="147" t="s">
        <v>89</v>
      </c>
      <c r="E2" s="147"/>
      <c r="F2" s="147"/>
      <c r="G2" s="147"/>
      <c r="H2" s="147"/>
      <c r="I2" s="147"/>
      <c r="J2" s="147" t="s">
        <v>105</v>
      </c>
    </row>
    <row r="3" spans="1:28" s="74" customFormat="1" ht="25.05" customHeight="1" x14ac:dyDescent="0.2">
      <c r="B3" s="75"/>
      <c r="C3" s="75"/>
      <c r="D3" s="75"/>
      <c r="E3" s="75"/>
      <c r="F3" s="75"/>
      <c r="G3" s="75"/>
      <c r="H3" s="75"/>
      <c r="I3" s="75"/>
      <c r="J3" s="75"/>
      <c r="K3" s="76"/>
    </row>
    <row r="4" spans="1:28" s="74" customFormat="1" ht="25.05" customHeight="1" x14ac:dyDescent="0.2">
      <c r="A4" s="199">
        <v>45292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80"/>
      <c r="V4" s="80"/>
      <c r="W4" s="80"/>
      <c r="X4" s="80"/>
      <c r="Y4" s="80"/>
      <c r="Z4" s="80"/>
      <c r="AA4" s="80"/>
      <c r="AB4" s="80"/>
    </row>
    <row r="5" spans="1:28" s="74" customFormat="1" ht="25.05" customHeight="1" x14ac:dyDescent="0.2">
      <c r="I5" s="77"/>
      <c r="J5" s="77"/>
      <c r="L5" s="202"/>
      <c r="M5" s="202"/>
    </row>
    <row r="6" spans="1:28" s="74" customFormat="1" ht="25.05" customHeight="1" x14ac:dyDescent="0.2">
      <c r="I6" s="77"/>
      <c r="J6" s="77"/>
      <c r="Q6" s="74" t="s">
        <v>119</v>
      </c>
    </row>
    <row r="7" spans="1:28" s="74" customFormat="1" ht="25.05" customHeight="1" x14ac:dyDescent="0.2">
      <c r="A7" s="144" t="s">
        <v>70</v>
      </c>
      <c r="B7" s="147"/>
      <c r="C7" s="147"/>
      <c r="D7" s="147" t="s">
        <v>71</v>
      </c>
      <c r="E7" s="147" t="s">
        <v>72</v>
      </c>
      <c r="F7" s="147"/>
      <c r="G7" s="147"/>
      <c r="H7" s="147"/>
      <c r="I7" s="147"/>
      <c r="J7" s="147"/>
      <c r="K7" s="147"/>
      <c r="L7" s="148"/>
      <c r="M7" s="149"/>
      <c r="R7" s="74" t="s">
        <v>98</v>
      </c>
    </row>
    <row r="8" spans="1:28" s="74" customFormat="1" ht="25.05" customHeight="1" x14ac:dyDescent="0.2">
      <c r="A8" s="150" t="s">
        <v>73</v>
      </c>
      <c r="B8" s="151"/>
      <c r="C8" s="151"/>
      <c r="D8" s="151" t="s">
        <v>74</v>
      </c>
      <c r="E8" s="151" t="s">
        <v>102</v>
      </c>
      <c r="F8" s="151"/>
      <c r="G8" s="151"/>
      <c r="H8" s="151"/>
      <c r="I8" s="151"/>
      <c r="J8" s="151"/>
      <c r="K8" s="151"/>
      <c r="L8" s="151"/>
      <c r="M8" s="152"/>
      <c r="P8" s="78"/>
      <c r="U8" s="79"/>
      <c r="V8" s="79"/>
      <c r="Y8" s="79"/>
      <c r="Z8" s="79"/>
      <c r="AA8" s="79"/>
      <c r="AB8" s="79"/>
    </row>
    <row r="9" spans="1:28" s="74" customFormat="1" ht="25.05" customHeight="1" x14ac:dyDescent="0.2">
      <c r="A9" s="144" t="s">
        <v>75</v>
      </c>
      <c r="B9" s="145"/>
      <c r="C9" s="145"/>
      <c r="D9" s="145" t="s">
        <v>74</v>
      </c>
      <c r="E9" s="145" t="s">
        <v>120</v>
      </c>
      <c r="F9" s="145"/>
      <c r="G9" s="145"/>
      <c r="H9" s="145"/>
      <c r="I9" s="145"/>
      <c r="J9" s="145"/>
      <c r="K9" s="145"/>
      <c r="L9" s="145"/>
      <c r="M9" s="152"/>
    </row>
    <row r="10" spans="1:28" s="74" customFormat="1" ht="25.05" customHeight="1" x14ac:dyDescent="0.2">
      <c r="A10" s="144" t="s">
        <v>77</v>
      </c>
      <c r="B10" s="145"/>
      <c r="C10" s="145"/>
      <c r="D10" s="147" t="s">
        <v>74</v>
      </c>
      <c r="E10" s="153" t="s">
        <v>121</v>
      </c>
      <c r="F10" s="153" t="s">
        <v>79</v>
      </c>
      <c r="G10" s="154" t="s">
        <v>122</v>
      </c>
      <c r="H10" s="154" t="s">
        <v>81</v>
      </c>
      <c r="I10" s="154" t="s">
        <v>82</v>
      </c>
      <c r="J10" s="154" t="s">
        <v>83</v>
      </c>
      <c r="K10" s="154"/>
      <c r="L10" s="154"/>
      <c r="M10" s="152"/>
    </row>
    <row r="11" spans="1:28" ht="19.5" customHeight="1" x14ac:dyDescent="0.2">
      <c r="G11" s="85"/>
      <c r="H11" s="85"/>
      <c r="I11" s="85"/>
      <c r="J11" s="85"/>
      <c r="K11" s="85"/>
      <c r="L11" s="85"/>
      <c r="M11" s="85"/>
      <c r="N11" s="38"/>
      <c r="O11" s="38"/>
      <c r="P11" s="38"/>
      <c r="Q11" s="74"/>
      <c r="R11" s="74"/>
      <c r="S11" s="74"/>
      <c r="T11" s="74"/>
      <c r="W11" s="23" t="s">
        <v>34</v>
      </c>
      <c r="X11" s="3" t="e">
        <f>#REF!*7.5</f>
        <v>#REF!</v>
      </c>
      <c r="Y11" s="23" t="s">
        <v>35</v>
      </c>
      <c r="Z11" s="3" t="e">
        <f>X11-20</f>
        <v>#REF!</v>
      </c>
      <c r="AA11" s="23" t="s">
        <v>36</v>
      </c>
      <c r="AB11" s="3" t="e">
        <f>X11+20</f>
        <v>#REF!</v>
      </c>
    </row>
    <row r="12" spans="1:28" ht="19.95" customHeight="1" x14ac:dyDescent="0.2">
      <c r="E12" s="86"/>
      <c r="F12" s="86"/>
      <c r="G12" s="86"/>
      <c r="H12" s="86"/>
      <c r="I12" s="87"/>
      <c r="J12" s="87"/>
      <c r="K12" s="87"/>
      <c r="L12" s="87"/>
      <c r="M12" s="87"/>
      <c r="N12" s="42"/>
      <c r="O12" s="42"/>
      <c r="P12" s="42"/>
      <c r="Q12" s="74"/>
      <c r="R12" s="74"/>
      <c r="S12" s="74"/>
      <c r="T12" s="74"/>
      <c r="W12" s="23" t="s">
        <v>57</v>
      </c>
      <c r="X12" s="3">
        <f>COUNTA(E17:E47)</f>
        <v>0</v>
      </c>
    </row>
    <row r="13" spans="1:28" ht="19.95" customHeight="1" x14ac:dyDescent="0.2">
      <c r="B13" s="128" t="s">
        <v>87</v>
      </c>
      <c r="C13" s="128"/>
      <c r="D13" s="128"/>
      <c r="E13" s="128"/>
      <c r="F13" s="128"/>
      <c r="G13" s="128"/>
      <c r="H13" s="128"/>
      <c r="M13" s="39"/>
      <c r="N13" s="8"/>
      <c r="O13" s="8"/>
      <c r="P13" s="8"/>
      <c r="Q13" s="74"/>
      <c r="R13" s="74"/>
      <c r="S13" s="74"/>
      <c r="T13" s="74"/>
      <c r="W13" s="23" t="s">
        <v>59</v>
      </c>
      <c r="X13" s="70">
        <v>0.91666666666666663</v>
      </c>
      <c r="Y13" s="23" t="s">
        <v>60</v>
      </c>
      <c r="Z13" s="73">
        <v>1.2083333333333333</v>
      </c>
      <c r="AA13" s="23" t="s">
        <v>61</v>
      </c>
    </row>
    <row r="14" spans="1:28" ht="43.8" customHeight="1" x14ac:dyDescent="0.2">
      <c r="B14" s="129" t="s">
        <v>63</v>
      </c>
      <c r="C14" s="128"/>
      <c r="D14" s="198" t="s">
        <v>85</v>
      </c>
      <c r="E14" s="198"/>
      <c r="F14" s="198"/>
      <c r="G14" s="198"/>
      <c r="H14" s="130"/>
      <c r="M14" s="39"/>
      <c r="N14" s="8"/>
      <c r="O14" s="8"/>
      <c r="P14" s="8"/>
      <c r="Q14" s="74"/>
      <c r="R14" s="74"/>
      <c r="S14" s="74"/>
      <c r="T14" s="74"/>
    </row>
    <row r="15" spans="1:28" ht="15" customHeight="1" x14ac:dyDescent="0.2">
      <c r="E15" s="6"/>
      <c r="F15" s="7"/>
      <c r="N15" s="8"/>
      <c r="O15" s="8"/>
      <c r="P15" s="8"/>
      <c r="Q15" s="8"/>
      <c r="R15" s="8"/>
      <c r="S15" s="8"/>
      <c r="T15" s="9"/>
    </row>
    <row r="16" spans="1:28" ht="28.5" customHeight="1" x14ac:dyDescent="0.2">
      <c r="A16" s="155" t="s">
        <v>0</v>
      </c>
      <c r="B16" s="156" t="s">
        <v>1</v>
      </c>
      <c r="C16" s="156" t="s">
        <v>2</v>
      </c>
      <c r="D16" s="157" t="s">
        <v>101</v>
      </c>
      <c r="E16" s="156" t="s">
        <v>4</v>
      </c>
      <c r="F16" s="158" t="s">
        <v>5</v>
      </c>
      <c r="G16" s="159" t="s">
        <v>62</v>
      </c>
      <c r="H16" s="160" t="s">
        <v>99</v>
      </c>
      <c r="I16" s="159" t="s">
        <v>93</v>
      </c>
      <c r="J16" s="157" t="s">
        <v>100</v>
      </c>
      <c r="K16" s="157" t="s">
        <v>65</v>
      </c>
      <c r="L16" s="160" t="s">
        <v>66</v>
      </c>
      <c r="M16" s="182" t="s">
        <v>20</v>
      </c>
      <c r="N16" s="183"/>
      <c r="O16" s="183"/>
      <c r="P16" s="183"/>
      <c r="Q16" s="183"/>
      <c r="R16" s="183"/>
      <c r="S16" s="183"/>
      <c r="T16" s="184"/>
      <c r="U16" s="16" t="s">
        <v>9</v>
      </c>
      <c r="W16" s="23" t="s">
        <v>58</v>
      </c>
    </row>
    <row r="17" spans="1:26" ht="19.95" customHeight="1" x14ac:dyDescent="0.2">
      <c r="A17" s="131"/>
      <c r="B17" s="132"/>
      <c r="C17" s="133"/>
      <c r="D17" s="134"/>
      <c r="E17" s="110"/>
      <c r="F17" s="111"/>
      <c r="G17" s="116"/>
      <c r="H17" s="117"/>
      <c r="I17" s="116"/>
      <c r="J17" s="123"/>
      <c r="K17" s="123"/>
      <c r="L17" s="117"/>
      <c r="M17" s="185"/>
      <c r="N17" s="186"/>
      <c r="O17" s="186"/>
      <c r="P17" s="186"/>
      <c r="Q17" s="186"/>
      <c r="R17" s="186"/>
      <c r="S17" s="186"/>
      <c r="T17" s="187"/>
      <c r="U17" s="48" t="s">
        <v>56</v>
      </c>
      <c r="W17" s="72"/>
      <c r="X17" s="72"/>
      <c r="Y17" s="72"/>
      <c r="Z17" s="72"/>
    </row>
    <row r="18" spans="1:26" ht="19.95" customHeight="1" x14ac:dyDescent="0.2">
      <c r="A18" s="135"/>
      <c r="B18" s="136"/>
      <c r="C18" s="137"/>
      <c r="D18" s="138"/>
      <c r="E18" s="112"/>
      <c r="F18" s="113"/>
      <c r="G18" s="118"/>
      <c r="H18" s="119"/>
      <c r="I18" s="120"/>
      <c r="J18" s="124"/>
      <c r="K18" s="124"/>
      <c r="L18" s="119"/>
      <c r="M18" s="173"/>
      <c r="N18" s="174"/>
      <c r="O18" s="174"/>
      <c r="P18" s="174"/>
      <c r="Q18" s="174"/>
      <c r="R18" s="174"/>
      <c r="S18" s="174"/>
      <c r="T18" s="175"/>
      <c r="U18" s="48" t="s">
        <v>56</v>
      </c>
      <c r="W18" s="72"/>
      <c r="X18" s="72"/>
      <c r="Y18" s="72"/>
      <c r="Z18" s="72"/>
    </row>
    <row r="19" spans="1:26" ht="19.95" customHeight="1" x14ac:dyDescent="0.2">
      <c r="A19" s="135"/>
      <c r="B19" s="136"/>
      <c r="C19" s="137"/>
      <c r="D19" s="138"/>
      <c r="E19" s="112"/>
      <c r="F19" s="113"/>
      <c r="G19" s="120"/>
      <c r="H19" s="119"/>
      <c r="I19" s="120"/>
      <c r="J19" s="124"/>
      <c r="K19" s="124"/>
      <c r="L19" s="119"/>
      <c r="M19" s="173"/>
      <c r="N19" s="174"/>
      <c r="O19" s="174"/>
      <c r="P19" s="174"/>
      <c r="Q19" s="174"/>
      <c r="R19" s="174"/>
      <c r="S19" s="174"/>
      <c r="T19" s="175"/>
      <c r="U19" s="48" t="s">
        <v>56</v>
      </c>
      <c r="W19" s="72"/>
      <c r="X19" s="72"/>
      <c r="Y19" s="72"/>
      <c r="Z19" s="72"/>
    </row>
    <row r="20" spans="1:26" ht="19.95" customHeight="1" x14ac:dyDescent="0.2">
      <c r="A20" s="135"/>
      <c r="B20" s="136"/>
      <c r="C20" s="137"/>
      <c r="D20" s="138"/>
      <c r="E20" s="112"/>
      <c r="F20" s="113"/>
      <c r="G20" s="120"/>
      <c r="H20" s="119"/>
      <c r="I20" s="120"/>
      <c r="J20" s="124"/>
      <c r="K20" s="124"/>
      <c r="L20" s="119"/>
      <c r="M20" s="173"/>
      <c r="N20" s="174"/>
      <c r="O20" s="174"/>
      <c r="P20" s="174"/>
      <c r="Q20" s="174"/>
      <c r="R20" s="174"/>
      <c r="S20" s="174"/>
      <c r="T20" s="175"/>
      <c r="U20" s="48" t="s">
        <v>56</v>
      </c>
      <c r="W20" s="72"/>
      <c r="X20" s="72"/>
      <c r="Y20" s="72"/>
      <c r="Z20" s="72"/>
    </row>
    <row r="21" spans="1:26" ht="19.95" customHeight="1" x14ac:dyDescent="0.2">
      <c r="A21" s="135"/>
      <c r="B21" s="136"/>
      <c r="C21" s="137"/>
      <c r="D21" s="138"/>
      <c r="E21" s="112"/>
      <c r="F21" s="113"/>
      <c r="G21" s="120"/>
      <c r="H21" s="119"/>
      <c r="I21" s="120"/>
      <c r="J21" s="124"/>
      <c r="K21" s="124"/>
      <c r="L21" s="119"/>
      <c r="M21" s="173"/>
      <c r="N21" s="174"/>
      <c r="O21" s="174"/>
      <c r="P21" s="174"/>
      <c r="Q21" s="174"/>
      <c r="R21" s="174"/>
      <c r="S21" s="174"/>
      <c r="T21" s="175"/>
      <c r="U21" s="48"/>
      <c r="W21" s="72"/>
      <c r="X21" s="72"/>
      <c r="Y21" s="72"/>
      <c r="Z21" s="72"/>
    </row>
    <row r="22" spans="1:26" ht="19.95" customHeight="1" x14ac:dyDescent="0.2">
      <c r="A22" s="135"/>
      <c r="B22" s="136"/>
      <c r="C22" s="137"/>
      <c r="D22" s="138"/>
      <c r="E22" s="112"/>
      <c r="F22" s="113"/>
      <c r="G22" s="120"/>
      <c r="H22" s="119"/>
      <c r="I22" s="120"/>
      <c r="J22" s="124"/>
      <c r="K22" s="124"/>
      <c r="L22" s="119"/>
      <c r="M22" s="173"/>
      <c r="N22" s="174"/>
      <c r="O22" s="174"/>
      <c r="P22" s="174"/>
      <c r="Q22" s="174"/>
      <c r="R22" s="174"/>
      <c r="S22" s="174"/>
      <c r="T22" s="175"/>
      <c r="U22" s="48"/>
      <c r="W22" s="72"/>
      <c r="X22" s="72"/>
      <c r="Y22" s="72"/>
      <c r="Z22" s="72"/>
    </row>
    <row r="23" spans="1:26" ht="19.95" customHeight="1" x14ac:dyDescent="0.2">
      <c r="A23" s="135"/>
      <c r="B23" s="136"/>
      <c r="C23" s="137"/>
      <c r="D23" s="138"/>
      <c r="E23" s="112"/>
      <c r="F23" s="113"/>
      <c r="G23" s="120"/>
      <c r="H23" s="119"/>
      <c r="I23" s="120"/>
      <c r="J23" s="124"/>
      <c r="K23" s="124"/>
      <c r="L23" s="119"/>
      <c r="M23" s="173"/>
      <c r="N23" s="174"/>
      <c r="O23" s="174"/>
      <c r="P23" s="174"/>
      <c r="Q23" s="174"/>
      <c r="R23" s="174"/>
      <c r="S23" s="174"/>
      <c r="T23" s="175"/>
      <c r="U23" s="48"/>
      <c r="W23" s="72"/>
      <c r="X23" s="72"/>
      <c r="Y23" s="72"/>
      <c r="Z23" s="72"/>
    </row>
    <row r="24" spans="1:26" ht="19.95" customHeight="1" x14ac:dyDescent="0.2">
      <c r="A24" s="139"/>
      <c r="B24" s="136"/>
      <c r="C24" s="137"/>
      <c r="D24" s="138"/>
      <c r="E24" s="112"/>
      <c r="F24" s="113"/>
      <c r="G24" s="120"/>
      <c r="H24" s="119"/>
      <c r="I24" s="120"/>
      <c r="J24" s="124"/>
      <c r="K24" s="124"/>
      <c r="L24" s="119"/>
      <c r="M24" s="173"/>
      <c r="N24" s="174"/>
      <c r="O24" s="174"/>
      <c r="P24" s="174"/>
      <c r="Q24" s="174"/>
      <c r="R24" s="174"/>
      <c r="S24" s="174"/>
      <c r="T24" s="175"/>
      <c r="U24" s="48" t="s">
        <v>56</v>
      </c>
      <c r="W24" s="72"/>
      <c r="X24" s="72"/>
      <c r="Y24" s="72"/>
      <c r="Z24" s="72"/>
    </row>
    <row r="25" spans="1:26" ht="19.95" customHeight="1" x14ac:dyDescent="0.2">
      <c r="A25" s="135"/>
      <c r="B25" s="136"/>
      <c r="C25" s="137"/>
      <c r="D25" s="138"/>
      <c r="E25" s="112"/>
      <c r="F25" s="113"/>
      <c r="G25" s="120"/>
      <c r="H25" s="119"/>
      <c r="I25" s="120"/>
      <c r="J25" s="124"/>
      <c r="K25" s="124"/>
      <c r="L25" s="119"/>
      <c r="M25" s="173" t="s">
        <v>123</v>
      </c>
      <c r="N25" s="174"/>
      <c r="O25" s="174"/>
      <c r="P25" s="174"/>
      <c r="Q25" s="174"/>
      <c r="R25" s="174"/>
      <c r="S25" s="174"/>
      <c r="T25" s="175"/>
      <c r="U25" s="48"/>
      <c r="W25" s="72"/>
      <c r="X25" s="72"/>
      <c r="Y25" s="72"/>
      <c r="Z25" s="72"/>
    </row>
    <row r="26" spans="1:26" ht="19.95" customHeight="1" x14ac:dyDescent="0.2">
      <c r="A26" s="135"/>
      <c r="B26" s="136"/>
      <c r="C26" s="137"/>
      <c r="D26" s="138"/>
      <c r="E26" s="112"/>
      <c r="F26" s="113"/>
      <c r="G26" s="120"/>
      <c r="H26" s="119"/>
      <c r="I26" s="120"/>
      <c r="J26" s="124"/>
      <c r="K26" s="124"/>
      <c r="L26" s="119"/>
      <c r="M26" s="173" t="s">
        <v>124</v>
      </c>
      <c r="N26" s="174"/>
      <c r="O26" s="174"/>
      <c r="P26" s="174"/>
      <c r="Q26" s="174"/>
      <c r="R26" s="174"/>
      <c r="S26" s="174"/>
      <c r="T26" s="175"/>
      <c r="U26" s="48"/>
      <c r="W26" s="72"/>
      <c r="X26" s="72"/>
      <c r="Y26" s="72"/>
      <c r="Z26" s="72"/>
    </row>
    <row r="27" spans="1:26" ht="19.95" customHeight="1" x14ac:dyDescent="0.2">
      <c r="A27" s="135"/>
      <c r="B27" s="136"/>
      <c r="C27" s="137"/>
      <c r="D27" s="138"/>
      <c r="E27" s="112"/>
      <c r="F27" s="113"/>
      <c r="G27" s="120"/>
      <c r="H27" s="119"/>
      <c r="I27" s="120"/>
      <c r="J27" s="124"/>
      <c r="K27" s="124"/>
      <c r="L27" s="119"/>
      <c r="M27" s="173" t="s">
        <v>125</v>
      </c>
      <c r="N27" s="174"/>
      <c r="O27" s="174"/>
      <c r="P27" s="174"/>
      <c r="Q27" s="174"/>
      <c r="R27" s="174"/>
      <c r="S27" s="174"/>
      <c r="T27" s="175"/>
      <c r="U27" s="48"/>
      <c r="W27" s="72"/>
      <c r="X27" s="72"/>
      <c r="Y27" s="72"/>
      <c r="Z27" s="72"/>
    </row>
    <row r="28" spans="1:26" ht="19.95" customHeight="1" x14ac:dyDescent="0.2">
      <c r="A28" s="135"/>
      <c r="B28" s="136"/>
      <c r="C28" s="137"/>
      <c r="D28" s="138"/>
      <c r="E28" s="112"/>
      <c r="F28" s="113"/>
      <c r="G28" s="120"/>
      <c r="H28" s="119"/>
      <c r="I28" s="120"/>
      <c r="J28" s="124"/>
      <c r="K28" s="124"/>
      <c r="L28" s="119"/>
      <c r="M28" s="173" t="s">
        <v>126</v>
      </c>
      <c r="N28" s="174"/>
      <c r="O28" s="174"/>
      <c r="P28" s="174"/>
      <c r="Q28" s="174"/>
      <c r="R28" s="174"/>
      <c r="S28" s="174"/>
      <c r="T28" s="175"/>
      <c r="U28" s="48"/>
      <c r="W28" s="72"/>
      <c r="X28" s="72"/>
      <c r="Y28" s="72"/>
      <c r="Z28" s="72"/>
    </row>
    <row r="29" spans="1:26" ht="19.95" customHeight="1" x14ac:dyDescent="0.2">
      <c r="A29" s="135"/>
      <c r="B29" s="136"/>
      <c r="C29" s="137"/>
      <c r="D29" s="138"/>
      <c r="E29" s="112"/>
      <c r="F29" s="113"/>
      <c r="G29" s="120"/>
      <c r="H29" s="119"/>
      <c r="I29" s="120"/>
      <c r="J29" s="124"/>
      <c r="K29" s="124"/>
      <c r="L29" s="119"/>
      <c r="M29" s="173"/>
      <c r="N29" s="174"/>
      <c r="O29" s="174"/>
      <c r="P29" s="174"/>
      <c r="Q29" s="174"/>
      <c r="R29" s="174"/>
      <c r="S29" s="174"/>
      <c r="T29" s="175"/>
      <c r="U29" s="48"/>
      <c r="W29" s="72"/>
      <c r="X29" s="72"/>
      <c r="Y29" s="72"/>
      <c r="Z29" s="72"/>
    </row>
    <row r="30" spans="1:26" ht="19.95" customHeight="1" x14ac:dyDescent="0.2">
      <c r="A30" s="139"/>
      <c r="B30" s="136"/>
      <c r="C30" s="137"/>
      <c r="D30" s="138"/>
      <c r="E30" s="112"/>
      <c r="F30" s="113"/>
      <c r="G30" s="120"/>
      <c r="H30" s="119"/>
      <c r="I30" s="120"/>
      <c r="J30" s="124"/>
      <c r="K30" s="124"/>
      <c r="L30" s="119"/>
      <c r="M30" s="173"/>
      <c r="N30" s="174"/>
      <c r="O30" s="174"/>
      <c r="P30" s="174"/>
      <c r="Q30" s="174"/>
      <c r="R30" s="174"/>
      <c r="S30" s="174"/>
      <c r="T30" s="175"/>
      <c r="U30" s="48"/>
      <c r="W30" s="72"/>
      <c r="X30" s="72"/>
      <c r="Y30" s="72"/>
      <c r="Z30" s="72"/>
    </row>
    <row r="31" spans="1:26" ht="19.95" customHeight="1" x14ac:dyDescent="0.2">
      <c r="A31" s="139"/>
      <c r="B31" s="136"/>
      <c r="C31" s="137"/>
      <c r="D31" s="138"/>
      <c r="E31" s="112"/>
      <c r="F31" s="113"/>
      <c r="G31" s="120"/>
      <c r="H31" s="119"/>
      <c r="I31" s="120"/>
      <c r="J31" s="124"/>
      <c r="K31" s="124"/>
      <c r="L31" s="119"/>
      <c r="M31" s="173"/>
      <c r="N31" s="174"/>
      <c r="O31" s="174"/>
      <c r="P31" s="174"/>
      <c r="Q31" s="174"/>
      <c r="R31" s="174"/>
      <c r="S31" s="174"/>
      <c r="T31" s="175"/>
      <c r="U31" s="48"/>
      <c r="W31" s="72"/>
      <c r="X31" s="72"/>
      <c r="Y31" s="72"/>
      <c r="Z31" s="72"/>
    </row>
    <row r="32" spans="1:26" ht="19.95" customHeight="1" x14ac:dyDescent="0.2">
      <c r="A32" s="139"/>
      <c r="B32" s="136"/>
      <c r="C32" s="137"/>
      <c r="D32" s="138"/>
      <c r="E32" s="112"/>
      <c r="F32" s="113"/>
      <c r="G32" s="120"/>
      <c r="H32" s="119"/>
      <c r="I32" s="120"/>
      <c r="J32" s="124"/>
      <c r="K32" s="124"/>
      <c r="L32" s="119"/>
      <c r="M32" s="173"/>
      <c r="N32" s="174"/>
      <c r="O32" s="174"/>
      <c r="P32" s="174"/>
      <c r="Q32" s="174"/>
      <c r="R32" s="174"/>
      <c r="S32" s="174"/>
      <c r="T32" s="175"/>
      <c r="U32" s="48"/>
      <c r="W32" s="72"/>
      <c r="X32" s="72"/>
      <c r="Y32" s="72"/>
      <c r="Z32" s="72"/>
    </row>
    <row r="33" spans="1:26" ht="19.95" customHeight="1" x14ac:dyDescent="0.2">
      <c r="A33" s="139"/>
      <c r="B33" s="136"/>
      <c r="C33" s="137"/>
      <c r="D33" s="138"/>
      <c r="E33" s="112"/>
      <c r="F33" s="113"/>
      <c r="G33" s="120"/>
      <c r="H33" s="119"/>
      <c r="I33" s="120"/>
      <c r="J33" s="124"/>
      <c r="K33" s="124"/>
      <c r="L33" s="119"/>
      <c r="M33" s="173"/>
      <c r="N33" s="174"/>
      <c r="O33" s="174"/>
      <c r="P33" s="174"/>
      <c r="Q33" s="174"/>
      <c r="R33" s="174"/>
      <c r="S33" s="174"/>
      <c r="T33" s="175"/>
      <c r="U33" s="48"/>
      <c r="W33" s="72"/>
      <c r="X33" s="72"/>
      <c r="Y33" s="72"/>
      <c r="Z33" s="72"/>
    </row>
    <row r="34" spans="1:26" ht="19.95" customHeight="1" x14ac:dyDescent="0.2">
      <c r="A34" s="139"/>
      <c r="B34" s="136"/>
      <c r="C34" s="137"/>
      <c r="D34" s="138"/>
      <c r="E34" s="112"/>
      <c r="F34" s="113"/>
      <c r="G34" s="120"/>
      <c r="H34" s="119"/>
      <c r="I34" s="120"/>
      <c r="J34" s="124"/>
      <c r="K34" s="124"/>
      <c r="L34" s="119"/>
      <c r="M34" s="173"/>
      <c r="N34" s="174"/>
      <c r="O34" s="174"/>
      <c r="P34" s="174"/>
      <c r="Q34" s="174"/>
      <c r="R34" s="174"/>
      <c r="S34" s="174"/>
      <c r="T34" s="175"/>
      <c r="U34" s="48"/>
      <c r="W34" s="72"/>
      <c r="X34" s="72"/>
      <c r="Y34" s="72"/>
      <c r="Z34" s="72"/>
    </row>
    <row r="35" spans="1:26" ht="19.95" customHeight="1" x14ac:dyDescent="0.2">
      <c r="A35" s="139"/>
      <c r="B35" s="136"/>
      <c r="C35" s="137"/>
      <c r="D35" s="138"/>
      <c r="E35" s="112"/>
      <c r="F35" s="113"/>
      <c r="G35" s="120"/>
      <c r="H35" s="119"/>
      <c r="I35" s="120"/>
      <c r="J35" s="124"/>
      <c r="K35" s="124"/>
      <c r="L35" s="119"/>
      <c r="M35" s="173"/>
      <c r="N35" s="174"/>
      <c r="O35" s="174"/>
      <c r="P35" s="174"/>
      <c r="Q35" s="174"/>
      <c r="R35" s="174"/>
      <c r="S35" s="174"/>
      <c r="T35" s="175"/>
      <c r="U35" s="48"/>
      <c r="V35" s="23"/>
      <c r="W35" s="72"/>
      <c r="X35" s="72"/>
      <c r="Y35" s="72"/>
      <c r="Z35" s="72"/>
    </row>
    <row r="36" spans="1:26" ht="19.95" customHeight="1" x14ac:dyDescent="0.2">
      <c r="A36" s="139"/>
      <c r="B36" s="136"/>
      <c r="C36" s="137"/>
      <c r="D36" s="138"/>
      <c r="E36" s="112"/>
      <c r="F36" s="113"/>
      <c r="G36" s="120"/>
      <c r="H36" s="119"/>
      <c r="I36" s="120"/>
      <c r="J36" s="124"/>
      <c r="K36" s="124"/>
      <c r="L36" s="119"/>
      <c r="M36" s="173"/>
      <c r="N36" s="174"/>
      <c r="O36" s="174"/>
      <c r="P36" s="174"/>
      <c r="Q36" s="174"/>
      <c r="R36" s="174"/>
      <c r="S36" s="174"/>
      <c r="T36" s="175"/>
      <c r="U36" s="48"/>
      <c r="W36" s="72"/>
      <c r="X36" s="72"/>
      <c r="Y36" s="72"/>
      <c r="Z36" s="72"/>
    </row>
    <row r="37" spans="1:26" ht="19.95" customHeight="1" x14ac:dyDescent="0.2">
      <c r="A37" s="139"/>
      <c r="B37" s="136"/>
      <c r="C37" s="137"/>
      <c r="D37" s="138"/>
      <c r="E37" s="112"/>
      <c r="F37" s="113"/>
      <c r="G37" s="120"/>
      <c r="H37" s="119"/>
      <c r="I37" s="120"/>
      <c r="J37" s="124"/>
      <c r="K37" s="124"/>
      <c r="L37" s="119"/>
      <c r="M37" s="173"/>
      <c r="N37" s="174"/>
      <c r="O37" s="174"/>
      <c r="P37" s="174"/>
      <c r="Q37" s="174"/>
      <c r="R37" s="174"/>
      <c r="S37" s="174"/>
      <c r="T37" s="175"/>
      <c r="U37" s="48"/>
      <c r="W37" s="72"/>
      <c r="X37" s="72"/>
      <c r="Y37" s="72"/>
      <c r="Z37" s="72"/>
    </row>
    <row r="38" spans="1:26" ht="19.95" customHeight="1" x14ac:dyDescent="0.2">
      <c r="A38" s="139"/>
      <c r="B38" s="136"/>
      <c r="C38" s="137"/>
      <c r="D38" s="138"/>
      <c r="E38" s="112"/>
      <c r="F38" s="113"/>
      <c r="G38" s="120"/>
      <c r="H38" s="119"/>
      <c r="I38" s="120"/>
      <c r="J38" s="124"/>
      <c r="K38" s="124"/>
      <c r="L38" s="119"/>
      <c r="M38" s="173"/>
      <c r="N38" s="174"/>
      <c r="O38" s="174"/>
      <c r="P38" s="174"/>
      <c r="Q38" s="174"/>
      <c r="R38" s="174"/>
      <c r="S38" s="174"/>
      <c r="T38" s="175"/>
      <c r="U38" s="48"/>
      <c r="W38" s="72"/>
      <c r="X38" s="72"/>
      <c r="Y38" s="72"/>
      <c r="Z38" s="72"/>
    </row>
    <row r="39" spans="1:26" ht="19.95" customHeight="1" x14ac:dyDescent="0.2">
      <c r="A39" s="139"/>
      <c r="B39" s="136"/>
      <c r="C39" s="137"/>
      <c r="D39" s="138"/>
      <c r="E39" s="112"/>
      <c r="F39" s="113"/>
      <c r="G39" s="120"/>
      <c r="H39" s="119"/>
      <c r="I39" s="120"/>
      <c r="J39" s="124"/>
      <c r="K39" s="124"/>
      <c r="L39" s="119"/>
      <c r="M39" s="173"/>
      <c r="N39" s="174"/>
      <c r="O39" s="174"/>
      <c r="P39" s="174"/>
      <c r="Q39" s="174"/>
      <c r="R39" s="174"/>
      <c r="S39" s="174"/>
      <c r="T39" s="175"/>
      <c r="U39" s="48"/>
      <c r="W39" s="72"/>
      <c r="X39" s="72"/>
      <c r="Y39" s="72"/>
      <c r="Z39" s="72"/>
    </row>
    <row r="40" spans="1:26" ht="19.95" customHeight="1" x14ac:dyDescent="0.2">
      <c r="A40" s="139"/>
      <c r="B40" s="136"/>
      <c r="C40" s="137"/>
      <c r="D40" s="138"/>
      <c r="E40" s="112"/>
      <c r="F40" s="113"/>
      <c r="G40" s="120"/>
      <c r="H40" s="119"/>
      <c r="I40" s="120"/>
      <c r="J40" s="124"/>
      <c r="K40" s="124"/>
      <c r="L40" s="119"/>
      <c r="M40" s="173"/>
      <c r="N40" s="174"/>
      <c r="O40" s="174"/>
      <c r="P40" s="174"/>
      <c r="Q40" s="174"/>
      <c r="R40" s="174"/>
      <c r="S40" s="174"/>
      <c r="T40" s="175"/>
      <c r="U40" s="48"/>
      <c r="W40" s="72"/>
      <c r="X40" s="72"/>
      <c r="Y40" s="72"/>
      <c r="Z40" s="72"/>
    </row>
    <row r="41" spans="1:26" ht="19.95" customHeight="1" x14ac:dyDescent="0.2">
      <c r="A41" s="139"/>
      <c r="B41" s="136"/>
      <c r="C41" s="137"/>
      <c r="D41" s="138"/>
      <c r="E41" s="112"/>
      <c r="F41" s="113"/>
      <c r="G41" s="120"/>
      <c r="H41" s="119"/>
      <c r="I41" s="120"/>
      <c r="J41" s="124"/>
      <c r="K41" s="124"/>
      <c r="L41" s="119"/>
      <c r="M41" s="173"/>
      <c r="N41" s="174"/>
      <c r="O41" s="174"/>
      <c r="P41" s="174"/>
      <c r="Q41" s="174"/>
      <c r="R41" s="174"/>
      <c r="S41" s="174"/>
      <c r="T41" s="175"/>
      <c r="U41" s="48"/>
      <c r="W41" s="72"/>
      <c r="X41" s="72"/>
      <c r="Y41" s="72"/>
      <c r="Z41" s="72"/>
    </row>
    <row r="42" spans="1:26" ht="19.95" customHeight="1" x14ac:dyDescent="0.2">
      <c r="A42" s="139"/>
      <c r="B42" s="136"/>
      <c r="C42" s="137"/>
      <c r="D42" s="138"/>
      <c r="E42" s="112"/>
      <c r="F42" s="113"/>
      <c r="G42" s="120"/>
      <c r="H42" s="119"/>
      <c r="I42" s="120"/>
      <c r="J42" s="124"/>
      <c r="K42" s="124"/>
      <c r="L42" s="119"/>
      <c r="M42" s="173"/>
      <c r="N42" s="174"/>
      <c r="O42" s="174"/>
      <c r="P42" s="174"/>
      <c r="Q42" s="174"/>
      <c r="R42" s="174"/>
      <c r="S42" s="174"/>
      <c r="T42" s="175"/>
      <c r="U42" s="49"/>
      <c r="W42" s="72"/>
      <c r="X42" s="72"/>
      <c r="Y42" s="72"/>
      <c r="Z42" s="72"/>
    </row>
    <row r="43" spans="1:26" ht="19.95" customHeight="1" x14ac:dyDescent="0.2">
      <c r="A43" s="139"/>
      <c r="B43" s="136"/>
      <c r="C43" s="137"/>
      <c r="D43" s="138"/>
      <c r="E43" s="112"/>
      <c r="F43" s="113"/>
      <c r="G43" s="120"/>
      <c r="H43" s="119"/>
      <c r="I43" s="120"/>
      <c r="J43" s="124"/>
      <c r="K43" s="124"/>
      <c r="L43" s="119"/>
      <c r="M43" s="173"/>
      <c r="N43" s="174"/>
      <c r="O43" s="174"/>
      <c r="P43" s="174"/>
      <c r="Q43" s="174"/>
      <c r="R43" s="174"/>
      <c r="S43" s="174"/>
      <c r="T43" s="175"/>
      <c r="U43" s="48"/>
      <c r="W43" s="72"/>
      <c r="X43" s="72"/>
      <c r="Y43" s="72"/>
      <c r="Z43" s="72"/>
    </row>
    <row r="44" spans="1:26" ht="19.95" customHeight="1" x14ac:dyDescent="0.2">
      <c r="A44" s="139"/>
      <c r="B44" s="136"/>
      <c r="C44" s="137"/>
      <c r="D44" s="138"/>
      <c r="E44" s="112"/>
      <c r="F44" s="113"/>
      <c r="G44" s="120"/>
      <c r="H44" s="119"/>
      <c r="I44" s="120"/>
      <c r="J44" s="124"/>
      <c r="K44" s="124"/>
      <c r="L44" s="119"/>
      <c r="M44" s="173"/>
      <c r="N44" s="174"/>
      <c r="O44" s="174"/>
      <c r="P44" s="174"/>
      <c r="Q44" s="174"/>
      <c r="R44" s="174"/>
      <c r="S44" s="174"/>
      <c r="T44" s="175"/>
      <c r="U44" s="48"/>
      <c r="W44" s="72"/>
      <c r="X44" s="72"/>
      <c r="Y44" s="72"/>
      <c r="Z44" s="72"/>
    </row>
    <row r="45" spans="1:26" ht="19.95" customHeight="1" x14ac:dyDescent="0.2">
      <c r="A45" s="139"/>
      <c r="B45" s="136"/>
      <c r="C45" s="137"/>
      <c r="D45" s="138"/>
      <c r="E45" s="112"/>
      <c r="F45" s="113"/>
      <c r="G45" s="120"/>
      <c r="H45" s="119"/>
      <c r="I45" s="120"/>
      <c r="J45" s="124"/>
      <c r="K45" s="124"/>
      <c r="L45" s="119"/>
      <c r="M45" s="173"/>
      <c r="N45" s="174"/>
      <c r="O45" s="174"/>
      <c r="P45" s="174"/>
      <c r="Q45" s="174"/>
      <c r="R45" s="174"/>
      <c r="S45" s="174"/>
      <c r="T45" s="175"/>
      <c r="U45" s="48"/>
      <c r="W45" s="72"/>
      <c r="X45" s="72"/>
      <c r="Y45" s="72"/>
      <c r="Z45" s="72"/>
    </row>
    <row r="46" spans="1:26" ht="21" customHeight="1" x14ac:dyDescent="0.2">
      <c r="A46" s="139"/>
      <c r="B46" s="136"/>
      <c r="C46" s="137"/>
      <c r="D46" s="138"/>
      <c r="E46" s="112"/>
      <c r="F46" s="113"/>
      <c r="G46" s="120"/>
      <c r="H46" s="119"/>
      <c r="I46" s="120"/>
      <c r="J46" s="124"/>
      <c r="K46" s="124"/>
      <c r="L46" s="119"/>
      <c r="M46" s="173"/>
      <c r="N46" s="174"/>
      <c r="O46" s="174"/>
      <c r="P46" s="174"/>
      <c r="Q46" s="174"/>
      <c r="R46" s="174"/>
      <c r="S46" s="174"/>
      <c r="T46" s="175"/>
      <c r="U46" s="48"/>
      <c r="W46" s="72"/>
      <c r="X46" s="72"/>
      <c r="Y46" s="72"/>
      <c r="Z46" s="72"/>
    </row>
    <row r="47" spans="1:26" ht="19.95" customHeight="1" x14ac:dyDescent="0.2">
      <c r="A47" s="140"/>
      <c r="B47" s="141"/>
      <c r="C47" s="142"/>
      <c r="D47" s="143"/>
      <c r="E47" s="112"/>
      <c r="F47" s="113"/>
      <c r="G47" s="121"/>
      <c r="H47" s="122"/>
      <c r="I47" s="121"/>
      <c r="J47" s="125"/>
      <c r="K47" s="125"/>
      <c r="L47" s="122"/>
      <c r="M47" s="176"/>
      <c r="N47" s="177"/>
      <c r="O47" s="177"/>
      <c r="P47" s="177"/>
      <c r="Q47" s="177"/>
      <c r="R47" s="177"/>
      <c r="S47" s="177"/>
      <c r="T47" s="178"/>
      <c r="U47" s="48"/>
      <c r="W47" s="72"/>
      <c r="X47" s="72"/>
      <c r="Y47" s="72"/>
      <c r="Z47" s="72"/>
    </row>
    <row r="48" spans="1:26" ht="19.95" customHeight="1" x14ac:dyDescent="0.2">
      <c r="A48" s="179" t="s">
        <v>103</v>
      </c>
      <c r="B48" s="180"/>
      <c r="C48" s="180"/>
      <c r="D48" s="180"/>
      <c r="E48" s="180"/>
      <c r="F48" s="181"/>
      <c r="G48" s="126">
        <f>SUM(G17:G47)</f>
        <v>0</v>
      </c>
      <c r="H48" s="127">
        <f>SUM(H17:H47)</f>
        <v>0</v>
      </c>
      <c r="I48" s="89">
        <f t="shared" ref="I48:L48" si="0">SUM(I17:I47)</f>
        <v>0</v>
      </c>
      <c r="J48" s="90">
        <f t="shared" si="0"/>
        <v>0</v>
      </c>
      <c r="K48" s="90">
        <f t="shared" si="0"/>
        <v>0</v>
      </c>
      <c r="L48" s="91">
        <f t="shared" si="0"/>
        <v>0</v>
      </c>
      <c r="M48" s="211" t="s">
        <v>106</v>
      </c>
      <c r="N48" s="211"/>
      <c r="O48" s="203" t="s">
        <v>95</v>
      </c>
      <c r="P48" s="204"/>
      <c r="Q48" s="205"/>
      <c r="R48" s="203" t="s">
        <v>94</v>
      </c>
      <c r="S48" s="204"/>
      <c r="T48" s="205"/>
      <c r="U48" s="48"/>
      <c r="W48" s="72"/>
      <c r="X48" s="72"/>
      <c r="Y48" s="72"/>
      <c r="Z48" s="72"/>
    </row>
    <row r="49" spans="1:26" ht="19.95" customHeight="1" x14ac:dyDescent="0.2">
      <c r="A49" s="161"/>
      <c r="B49" s="162"/>
      <c r="C49" s="162"/>
      <c r="D49" s="162"/>
      <c r="E49" s="162"/>
      <c r="F49" s="162"/>
      <c r="G49" s="162"/>
      <c r="H49" s="162"/>
      <c r="I49" s="163"/>
      <c r="J49" s="163"/>
      <c r="K49" s="163"/>
      <c r="L49" s="164"/>
      <c r="M49" s="211"/>
      <c r="N49" s="211"/>
      <c r="O49" s="169" t="s">
        <v>96</v>
      </c>
      <c r="P49" s="206" t="s">
        <v>97</v>
      </c>
      <c r="Q49" s="207"/>
      <c r="R49" s="169" t="s">
        <v>96</v>
      </c>
      <c r="S49" s="206" t="s">
        <v>97</v>
      </c>
      <c r="T49" s="207"/>
      <c r="U49" s="48"/>
      <c r="W49" s="72"/>
      <c r="X49" s="72"/>
      <c r="Y49" s="72"/>
      <c r="Z49" s="72"/>
    </row>
    <row r="50" spans="1:26" ht="30" customHeight="1" x14ac:dyDescent="0.2">
      <c r="A50" s="165"/>
      <c r="B50" s="166"/>
      <c r="C50" s="166"/>
      <c r="D50" s="166"/>
      <c r="E50" s="166"/>
      <c r="F50" s="166"/>
      <c r="G50" s="166"/>
      <c r="H50" s="166"/>
      <c r="I50" s="167"/>
      <c r="J50" s="167"/>
      <c r="K50" s="167"/>
      <c r="L50" s="168"/>
      <c r="M50" s="212">
        <f>SUM(I17:L47)</f>
        <v>0</v>
      </c>
      <c r="N50" s="212"/>
      <c r="O50" s="109">
        <f>COUNTIF(K17:K47,"&lt;&gt;" &amp; "*")</f>
        <v>31</v>
      </c>
      <c r="P50" s="200">
        <f>SUM(K17:K47)</f>
        <v>0</v>
      </c>
      <c r="Q50" s="201"/>
      <c r="R50" s="109">
        <f>COUNTIF(L17:L47,"&lt;&gt;" &amp; "*")</f>
        <v>31</v>
      </c>
      <c r="S50" s="200">
        <f>SUM(L17:L47)</f>
        <v>0</v>
      </c>
      <c r="T50" s="201"/>
      <c r="U50" s="48"/>
      <c r="W50" s="72"/>
      <c r="X50" s="72"/>
      <c r="Y50" s="72"/>
      <c r="Z50" s="72"/>
    </row>
    <row r="51" spans="1:26" ht="22.5" customHeight="1" x14ac:dyDescent="0.2">
      <c r="A51" s="92" t="s">
        <v>64</v>
      </c>
      <c r="B51" s="93"/>
      <c r="C51" s="94"/>
      <c r="D51" s="95"/>
      <c r="E51" s="95"/>
      <c r="F51" s="95"/>
      <c r="G51" s="96"/>
      <c r="H51" s="97"/>
      <c r="I51" s="97"/>
      <c r="J51" s="97"/>
      <c r="K51" s="97"/>
      <c r="L51" s="97"/>
      <c r="M51" s="97"/>
      <c r="N51" s="98"/>
      <c r="O51" s="98"/>
      <c r="P51" s="98"/>
      <c r="Q51" s="98"/>
      <c r="R51" s="98"/>
      <c r="S51" s="98"/>
      <c r="T51" s="99"/>
      <c r="U51" s="16"/>
    </row>
    <row r="52" spans="1:26" ht="22.5" customHeight="1" x14ac:dyDescent="0.2">
      <c r="A52" s="100"/>
      <c r="B52" s="101"/>
      <c r="C52" s="101"/>
      <c r="D52" s="102"/>
      <c r="E52" s="103"/>
      <c r="F52" s="102"/>
      <c r="G52" s="104"/>
      <c r="H52" s="105"/>
      <c r="I52" s="105"/>
      <c r="J52" s="105"/>
      <c r="K52" s="105"/>
      <c r="L52" s="105"/>
      <c r="M52" s="106"/>
      <c r="N52" s="107"/>
      <c r="O52" s="107"/>
      <c r="P52" s="107"/>
      <c r="Q52" s="107"/>
      <c r="R52" s="107"/>
      <c r="S52" s="107"/>
      <c r="T52" s="108"/>
      <c r="U52" s="16"/>
    </row>
    <row r="53" spans="1:26" s="81" customFormat="1" ht="15" customHeight="1" x14ac:dyDescent="0.2"/>
    <row r="54" spans="1:26" s="81" customFormat="1" ht="19.95" customHeight="1" x14ac:dyDescent="0.2"/>
    <row r="55" spans="1:26" s="81" customFormat="1" ht="19.95" customHeight="1" x14ac:dyDescent="0.2">
      <c r="N55" s="81" t="s">
        <v>84</v>
      </c>
    </row>
    <row r="56" spans="1:26" s="81" customFormat="1" ht="19.95" customHeight="1" x14ac:dyDescent="0.2">
      <c r="N56" s="208" t="s">
        <v>104</v>
      </c>
      <c r="O56" s="209"/>
      <c r="P56" s="209"/>
      <c r="Q56" s="209"/>
      <c r="R56" s="209"/>
      <c r="S56" s="210"/>
    </row>
    <row r="57" spans="1:26" s="81" customFormat="1" ht="19.95" customHeight="1" x14ac:dyDescent="0.2">
      <c r="N57" s="188"/>
      <c r="O57" s="189"/>
      <c r="P57" s="189"/>
      <c r="Q57" s="190"/>
      <c r="R57" s="190"/>
      <c r="S57" s="191"/>
    </row>
    <row r="58" spans="1:26" s="81" customFormat="1" ht="19.95" customHeight="1" x14ac:dyDescent="0.2">
      <c r="N58" s="192"/>
      <c r="O58" s="193"/>
      <c r="P58" s="193"/>
      <c r="Q58" s="193"/>
      <c r="R58" s="193"/>
      <c r="S58" s="194"/>
    </row>
    <row r="59" spans="1:26" s="81" customFormat="1" ht="19.95" customHeight="1" x14ac:dyDescent="0.2">
      <c r="N59" s="192"/>
      <c r="O59" s="193"/>
      <c r="P59" s="193"/>
      <c r="Q59" s="193"/>
      <c r="R59" s="193"/>
      <c r="S59" s="194"/>
    </row>
    <row r="60" spans="1:26" s="81" customFormat="1" ht="19.95" customHeight="1" x14ac:dyDescent="0.2">
      <c r="N60" s="192"/>
      <c r="O60" s="193"/>
      <c r="P60" s="193"/>
      <c r="Q60" s="193"/>
      <c r="R60" s="193"/>
      <c r="S60" s="194"/>
    </row>
    <row r="61" spans="1:26" s="81" customFormat="1" ht="19.95" customHeight="1" x14ac:dyDescent="0.2">
      <c r="N61" s="192"/>
      <c r="O61" s="193"/>
      <c r="P61" s="193"/>
      <c r="Q61" s="193"/>
      <c r="R61" s="193"/>
      <c r="S61" s="194"/>
    </row>
    <row r="62" spans="1:26" s="81" customFormat="1" ht="15" customHeight="1" x14ac:dyDescent="0.2">
      <c r="N62" s="195"/>
      <c r="O62" s="196"/>
      <c r="P62" s="196"/>
      <c r="Q62" s="196"/>
      <c r="R62" s="196"/>
      <c r="S62" s="197"/>
      <c r="U62" s="82"/>
      <c r="V62" s="82"/>
      <c r="W62" s="82"/>
    </row>
    <row r="63" spans="1:26" x14ac:dyDescent="0.2">
      <c r="A63" s="88" t="s">
        <v>86</v>
      </c>
      <c r="B63" s="5"/>
      <c r="C63" s="5"/>
      <c r="D63" s="5"/>
      <c r="E63" s="5"/>
      <c r="F63" s="5"/>
      <c r="G63" s="5"/>
      <c r="K63" s="81"/>
      <c r="L63" s="81"/>
      <c r="M63" s="81"/>
      <c r="N63" s="81"/>
      <c r="O63" s="81"/>
      <c r="P63" s="82"/>
      <c r="Q63" s="82"/>
      <c r="R63" s="82"/>
      <c r="S63" s="82"/>
      <c r="T63" s="82"/>
    </row>
    <row r="65" spans="8:26" x14ac:dyDescent="0.2">
      <c r="V65" s="36"/>
      <c r="W65" s="36"/>
      <c r="X65" s="36"/>
      <c r="Y65" s="36"/>
      <c r="Z65" s="36"/>
    </row>
    <row r="66" spans="8:26" x14ac:dyDescent="0.2">
      <c r="H66" s="37"/>
      <c r="I66" s="37"/>
      <c r="J66" s="37"/>
      <c r="K66" s="37"/>
      <c r="L66" s="37"/>
      <c r="M66" s="37"/>
      <c r="V66" s="36"/>
      <c r="W66" s="36"/>
      <c r="X66" s="36"/>
      <c r="Y66" s="36"/>
      <c r="Z66" s="36"/>
    </row>
    <row r="67" spans="8:26" x14ac:dyDescent="0.2">
      <c r="H67" s="37"/>
      <c r="I67" s="37"/>
      <c r="J67" s="37"/>
      <c r="K67" s="37"/>
      <c r="L67" s="37"/>
      <c r="M67" s="37"/>
      <c r="V67" s="36"/>
      <c r="W67" s="36"/>
      <c r="X67" s="36"/>
      <c r="Y67" s="36"/>
      <c r="Z67" s="36"/>
    </row>
    <row r="68" spans="8:26" x14ac:dyDescent="0.2">
      <c r="V68" s="36"/>
      <c r="W68" s="36"/>
      <c r="X68" s="36"/>
      <c r="Y68" s="36"/>
      <c r="Z68" s="36"/>
    </row>
  </sheetData>
  <protectedRanges>
    <protectedRange sqref="A48 F49:F50 F17:F47" name="範囲1_1"/>
    <protectedRange sqref="T26:T29 T17:T21 N22:T25 N30:T31 N37:T38 N44:T45 T32:T36 T39:T43 T46:T50" name="範囲2_1_2"/>
    <protectedRange sqref="N26:S29 N17:S21 N32:S36 N39:S43 N46:S47 R48 M48:Q50 R49:S50" name="範囲2_1_2_1"/>
  </protectedRanges>
  <mergeCells count="46">
    <mergeCell ref="N56:S56"/>
    <mergeCell ref="M48:N49"/>
    <mergeCell ref="M50:N50"/>
    <mergeCell ref="O48:Q48"/>
    <mergeCell ref="P49:Q49"/>
    <mergeCell ref="N57:S62"/>
    <mergeCell ref="D14:G14"/>
    <mergeCell ref="A4:T4"/>
    <mergeCell ref="P50:Q50"/>
    <mergeCell ref="L5:M5"/>
    <mergeCell ref="M37:T37"/>
    <mergeCell ref="M38:T38"/>
    <mergeCell ref="M39:T39"/>
    <mergeCell ref="M40:T40"/>
    <mergeCell ref="M20:T20"/>
    <mergeCell ref="M35:T35"/>
    <mergeCell ref="M36:T36"/>
    <mergeCell ref="M43:T43"/>
    <mergeCell ref="R48:T48"/>
    <mergeCell ref="S49:T49"/>
    <mergeCell ref="S50:T50"/>
    <mergeCell ref="A48:F48"/>
    <mergeCell ref="M16:T16"/>
    <mergeCell ref="M30:T30"/>
    <mergeCell ref="M31:T31"/>
    <mergeCell ref="M26:T26"/>
    <mergeCell ref="M27:T27"/>
    <mergeCell ref="M28:T28"/>
    <mergeCell ref="M29:T29"/>
    <mergeCell ref="M17:T17"/>
    <mergeCell ref="M23:T23"/>
    <mergeCell ref="M24:T24"/>
    <mergeCell ref="M25:T25"/>
    <mergeCell ref="M18:T18"/>
    <mergeCell ref="M21:T21"/>
    <mergeCell ref="M19:T19"/>
    <mergeCell ref="M22:T22"/>
    <mergeCell ref="M45:T45"/>
    <mergeCell ref="M46:T46"/>
    <mergeCell ref="M47:T47"/>
    <mergeCell ref="M44:T44"/>
    <mergeCell ref="M32:T32"/>
    <mergeCell ref="M33:T33"/>
    <mergeCell ref="M34:T34"/>
    <mergeCell ref="M41:T41"/>
    <mergeCell ref="M42:T42"/>
  </mergeCells>
  <phoneticPr fontId="4"/>
  <conditionalFormatting sqref="B17:E47">
    <cfRule type="expression" dxfId="16" priority="6" stopIfTrue="1">
      <formula>OR($D17="休日")</formula>
    </cfRule>
  </conditionalFormatting>
  <conditionalFormatting sqref="C17:D47">
    <cfRule type="expression" dxfId="15" priority="151" stopIfTrue="1">
      <formula>OR($D17="休日")</formula>
    </cfRule>
  </conditionalFormatting>
  <conditionalFormatting sqref="D17:D47">
    <cfRule type="cellIs" dxfId="14" priority="152" stopIfTrue="1" operator="equal">
      <formula>"稼働"</formula>
    </cfRule>
  </conditionalFormatting>
  <conditionalFormatting sqref="F17:F47">
    <cfRule type="expression" dxfId="13" priority="1">
      <formula>OR($D17="休日")</formula>
    </cfRule>
  </conditionalFormatting>
  <conditionalFormatting sqref="G17:M47">
    <cfRule type="expression" dxfId="12" priority="49" stopIfTrue="1">
      <formula>OR($D17="休日")</formula>
    </cfRule>
  </conditionalFormatting>
  <conditionalFormatting sqref="I48:L50">
    <cfRule type="expression" dxfId="11" priority="41" stopIfTrue="1">
      <formula>OR($D48="休日")</formula>
    </cfRule>
  </conditionalFormatting>
  <conditionalFormatting sqref="M48 O48 R48 O49:P50 R49:S50 M50">
    <cfRule type="expression" dxfId="10" priority="83" stopIfTrue="1">
      <formula>OR($D48="休日")</formula>
    </cfRule>
  </conditionalFormatting>
  <pageMargins left="0.78740157480314965" right="0.78740157480314965" top="0.59055118110236227" bottom="0.59055118110236227" header="0.51181102362204722" footer="0.51181102362204722"/>
  <pageSetup paperSize="9" scale="62" orientation="portrait" r:id="rId1"/>
  <headerFooter alignWithMargins="0">
    <oddFooter>&amp;R④-A_実績時間報告書　個人別明細(氏名)_深夜休日含む（Ver.1.2）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98C0-EFA3-42C0-A4AB-EEAD1E552852}">
  <sheetPr codeName="Sheet6">
    <pageSetUpPr fitToPage="1"/>
  </sheetPr>
  <dimension ref="A1:AB68"/>
  <sheetViews>
    <sheetView view="pageBreakPreview" zoomScaleNormal="100" zoomScaleSheetLayoutView="100" workbookViewId="0">
      <selection activeCell="P9" sqref="P9"/>
    </sheetView>
  </sheetViews>
  <sheetFormatPr defaultColWidth="8.77734375" defaultRowHeight="13.2" x14ac:dyDescent="0.2"/>
  <cols>
    <col min="1" max="1" width="4.33203125" style="3" customWidth="1"/>
    <col min="2" max="2" width="4" style="3" customWidth="1"/>
    <col min="3" max="3" width="4.109375" style="3" customWidth="1"/>
    <col min="4" max="4" width="6.109375" style="3" customWidth="1"/>
    <col min="5" max="6" width="7.33203125" style="3" customWidth="1"/>
    <col min="7" max="7" width="7.44140625" style="3" customWidth="1"/>
    <col min="8" max="12" width="7.44140625" style="5" customWidth="1"/>
    <col min="13" max="13" width="9" style="5" customWidth="1"/>
    <col min="14" max="20" width="7.109375" style="3" customWidth="1"/>
    <col min="21" max="21" width="5.109375" style="3" bestFit="1" customWidth="1"/>
    <col min="22" max="26" width="9.109375" style="3" bestFit="1" customWidth="1"/>
    <col min="27" max="259" width="8.77734375" style="3"/>
    <col min="260" max="260" width="4.33203125" style="3" customWidth="1"/>
    <col min="261" max="261" width="4" style="3" customWidth="1"/>
    <col min="262" max="262" width="4.109375" style="3" customWidth="1"/>
    <col min="263" max="263" width="8" style="3" customWidth="1"/>
    <col min="264" max="265" width="8.109375" style="3" customWidth="1"/>
    <col min="266" max="266" width="9.109375" style="3" customWidth="1"/>
    <col min="267" max="267" width="8.77734375" style="3"/>
    <col min="268" max="268" width="6.44140625" style="3" customWidth="1"/>
    <col min="269" max="269" width="26.109375" style="3" customWidth="1"/>
    <col min="270" max="270" width="7.109375" style="3" customWidth="1"/>
    <col min="271" max="271" width="11.109375" style="3" customWidth="1"/>
    <col min="272" max="272" width="5.109375" style="3" bestFit="1" customWidth="1"/>
    <col min="273" max="276" width="8.77734375" style="3"/>
    <col min="277" max="277" width="7.44140625" style="3" bestFit="1" customWidth="1"/>
    <col min="278" max="282" width="9.109375" style="3" bestFit="1" customWidth="1"/>
    <col min="283" max="515" width="8.77734375" style="3"/>
    <col min="516" max="516" width="4.33203125" style="3" customWidth="1"/>
    <col min="517" max="517" width="4" style="3" customWidth="1"/>
    <col min="518" max="518" width="4.109375" style="3" customWidth="1"/>
    <col min="519" max="519" width="8" style="3" customWidth="1"/>
    <col min="520" max="521" width="8.109375" style="3" customWidth="1"/>
    <col min="522" max="522" width="9.109375" style="3" customWidth="1"/>
    <col min="523" max="523" width="8.77734375" style="3"/>
    <col min="524" max="524" width="6.44140625" style="3" customWidth="1"/>
    <col min="525" max="525" width="26.109375" style="3" customWidth="1"/>
    <col min="526" max="526" width="7.109375" style="3" customWidth="1"/>
    <col min="527" max="527" width="11.109375" style="3" customWidth="1"/>
    <col min="528" max="528" width="5.109375" style="3" bestFit="1" customWidth="1"/>
    <col min="529" max="532" width="8.77734375" style="3"/>
    <col min="533" max="533" width="7.44140625" style="3" bestFit="1" customWidth="1"/>
    <col min="534" max="538" width="9.109375" style="3" bestFit="1" customWidth="1"/>
    <col min="539" max="771" width="8.77734375" style="3"/>
    <col min="772" max="772" width="4.33203125" style="3" customWidth="1"/>
    <col min="773" max="773" width="4" style="3" customWidth="1"/>
    <col min="774" max="774" width="4.109375" style="3" customWidth="1"/>
    <col min="775" max="775" width="8" style="3" customWidth="1"/>
    <col min="776" max="777" width="8.109375" style="3" customWidth="1"/>
    <col min="778" max="778" width="9.109375" style="3" customWidth="1"/>
    <col min="779" max="779" width="8.77734375" style="3"/>
    <col min="780" max="780" width="6.44140625" style="3" customWidth="1"/>
    <col min="781" max="781" width="26.109375" style="3" customWidth="1"/>
    <col min="782" max="782" width="7.109375" style="3" customWidth="1"/>
    <col min="783" max="783" width="11.109375" style="3" customWidth="1"/>
    <col min="784" max="784" width="5.109375" style="3" bestFit="1" customWidth="1"/>
    <col min="785" max="788" width="8.77734375" style="3"/>
    <col min="789" max="789" width="7.44140625" style="3" bestFit="1" customWidth="1"/>
    <col min="790" max="794" width="9.109375" style="3" bestFit="1" customWidth="1"/>
    <col min="795" max="1027" width="8.77734375" style="3"/>
    <col min="1028" max="1028" width="4.33203125" style="3" customWidth="1"/>
    <col min="1029" max="1029" width="4" style="3" customWidth="1"/>
    <col min="1030" max="1030" width="4.109375" style="3" customWidth="1"/>
    <col min="1031" max="1031" width="8" style="3" customWidth="1"/>
    <col min="1032" max="1033" width="8.109375" style="3" customWidth="1"/>
    <col min="1034" max="1034" width="9.109375" style="3" customWidth="1"/>
    <col min="1035" max="1035" width="8.77734375" style="3"/>
    <col min="1036" max="1036" width="6.44140625" style="3" customWidth="1"/>
    <col min="1037" max="1037" width="26.109375" style="3" customWidth="1"/>
    <col min="1038" max="1038" width="7.109375" style="3" customWidth="1"/>
    <col min="1039" max="1039" width="11.109375" style="3" customWidth="1"/>
    <col min="1040" max="1040" width="5.109375" style="3" bestFit="1" customWidth="1"/>
    <col min="1041" max="1044" width="8.77734375" style="3"/>
    <col min="1045" max="1045" width="7.44140625" style="3" bestFit="1" customWidth="1"/>
    <col min="1046" max="1050" width="9.109375" style="3" bestFit="1" customWidth="1"/>
    <col min="1051" max="1283" width="8.77734375" style="3"/>
    <col min="1284" max="1284" width="4.33203125" style="3" customWidth="1"/>
    <col min="1285" max="1285" width="4" style="3" customWidth="1"/>
    <col min="1286" max="1286" width="4.109375" style="3" customWidth="1"/>
    <col min="1287" max="1287" width="8" style="3" customWidth="1"/>
    <col min="1288" max="1289" width="8.109375" style="3" customWidth="1"/>
    <col min="1290" max="1290" width="9.109375" style="3" customWidth="1"/>
    <col min="1291" max="1291" width="8.77734375" style="3"/>
    <col min="1292" max="1292" width="6.44140625" style="3" customWidth="1"/>
    <col min="1293" max="1293" width="26.109375" style="3" customWidth="1"/>
    <col min="1294" max="1294" width="7.109375" style="3" customWidth="1"/>
    <col min="1295" max="1295" width="11.109375" style="3" customWidth="1"/>
    <col min="1296" max="1296" width="5.109375" style="3" bestFit="1" customWidth="1"/>
    <col min="1297" max="1300" width="8.77734375" style="3"/>
    <col min="1301" max="1301" width="7.44140625" style="3" bestFit="1" customWidth="1"/>
    <col min="1302" max="1306" width="9.109375" style="3" bestFit="1" customWidth="1"/>
    <col min="1307" max="1539" width="8.77734375" style="3"/>
    <col min="1540" max="1540" width="4.33203125" style="3" customWidth="1"/>
    <col min="1541" max="1541" width="4" style="3" customWidth="1"/>
    <col min="1542" max="1542" width="4.109375" style="3" customWidth="1"/>
    <col min="1543" max="1543" width="8" style="3" customWidth="1"/>
    <col min="1544" max="1545" width="8.109375" style="3" customWidth="1"/>
    <col min="1546" max="1546" width="9.109375" style="3" customWidth="1"/>
    <col min="1547" max="1547" width="8.77734375" style="3"/>
    <col min="1548" max="1548" width="6.44140625" style="3" customWidth="1"/>
    <col min="1549" max="1549" width="26.109375" style="3" customWidth="1"/>
    <col min="1550" max="1550" width="7.109375" style="3" customWidth="1"/>
    <col min="1551" max="1551" width="11.109375" style="3" customWidth="1"/>
    <col min="1552" max="1552" width="5.109375" style="3" bestFit="1" customWidth="1"/>
    <col min="1553" max="1556" width="8.77734375" style="3"/>
    <col min="1557" max="1557" width="7.44140625" style="3" bestFit="1" customWidth="1"/>
    <col min="1558" max="1562" width="9.109375" style="3" bestFit="1" customWidth="1"/>
    <col min="1563" max="1795" width="8.77734375" style="3"/>
    <col min="1796" max="1796" width="4.33203125" style="3" customWidth="1"/>
    <col min="1797" max="1797" width="4" style="3" customWidth="1"/>
    <col min="1798" max="1798" width="4.109375" style="3" customWidth="1"/>
    <col min="1799" max="1799" width="8" style="3" customWidth="1"/>
    <col min="1800" max="1801" width="8.109375" style="3" customWidth="1"/>
    <col min="1802" max="1802" width="9.109375" style="3" customWidth="1"/>
    <col min="1803" max="1803" width="8.77734375" style="3"/>
    <col min="1804" max="1804" width="6.44140625" style="3" customWidth="1"/>
    <col min="1805" max="1805" width="26.109375" style="3" customWidth="1"/>
    <col min="1806" max="1806" width="7.109375" style="3" customWidth="1"/>
    <col min="1807" max="1807" width="11.109375" style="3" customWidth="1"/>
    <col min="1808" max="1808" width="5.109375" style="3" bestFit="1" customWidth="1"/>
    <col min="1809" max="1812" width="8.77734375" style="3"/>
    <col min="1813" max="1813" width="7.44140625" style="3" bestFit="1" customWidth="1"/>
    <col min="1814" max="1818" width="9.109375" style="3" bestFit="1" customWidth="1"/>
    <col min="1819" max="2051" width="8.77734375" style="3"/>
    <col min="2052" max="2052" width="4.33203125" style="3" customWidth="1"/>
    <col min="2053" max="2053" width="4" style="3" customWidth="1"/>
    <col min="2054" max="2054" width="4.109375" style="3" customWidth="1"/>
    <col min="2055" max="2055" width="8" style="3" customWidth="1"/>
    <col min="2056" max="2057" width="8.109375" style="3" customWidth="1"/>
    <col min="2058" max="2058" width="9.109375" style="3" customWidth="1"/>
    <col min="2059" max="2059" width="8.77734375" style="3"/>
    <col min="2060" max="2060" width="6.44140625" style="3" customWidth="1"/>
    <col min="2061" max="2061" width="26.109375" style="3" customWidth="1"/>
    <col min="2062" max="2062" width="7.109375" style="3" customWidth="1"/>
    <col min="2063" max="2063" width="11.109375" style="3" customWidth="1"/>
    <col min="2064" max="2064" width="5.109375" style="3" bestFit="1" customWidth="1"/>
    <col min="2065" max="2068" width="8.77734375" style="3"/>
    <col min="2069" max="2069" width="7.44140625" style="3" bestFit="1" customWidth="1"/>
    <col min="2070" max="2074" width="9.109375" style="3" bestFit="1" customWidth="1"/>
    <col min="2075" max="2307" width="8.77734375" style="3"/>
    <col min="2308" max="2308" width="4.33203125" style="3" customWidth="1"/>
    <col min="2309" max="2309" width="4" style="3" customWidth="1"/>
    <col min="2310" max="2310" width="4.109375" style="3" customWidth="1"/>
    <col min="2311" max="2311" width="8" style="3" customWidth="1"/>
    <col min="2312" max="2313" width="8.109375" style="3" customWidth="1"/>
    <col min="2314" max="2314" width="9.109375" style="3" customWidth="1"/>
    <col min="2315" max="2315" width="8.77734375" style="3"/>
    <col min="2316" max="2316" width="6.44140625" style="3" customWidth="1"/>
    <col min="2317" max="2317" width="26.109375" style="3" customWidth="1"/>
    <col min="2318" max="2318" width="7.109375" style="3" customWidth="1"/>
    <col min="2319" max="2319" width="11.109375" style="3" customWidth="1"/>
    <col min="2320" max="2320" width="5.109375" style="3" bestFit="1" customWidth="1"/>
    <col min="2321" max="2324" width="8.77734375" style="3"/>
    <col min="2325" max="2325" width="7.44140625" style="3" bestFit="1" customWidth="1"/>
    <col min="2326" max="2330" width="9.109375" style="3" bestFit="1" customWidth="1"/>
    <col min="2331" max="2563" width="8.77734375" style="3"/>
    <col min="2564" max="2564" width="4.33203125" style="3" customWidth="1"/>
    <col min="2565" max="2565" width="4" style="3" customWidth="1"/>
    <col min="2566" max="2566" width="4.109375" style="3" customWidth="1"/>
    <col min="2567" max="2567" width="8" style="3" customWidth="1"/>
    <col min="2568" max="2569" width="8.109375" style="3" customWidth="1"/>
    <col min="2570" max="2570" width="9.109375" style="3" customWidth="1"/>
    <col min="2571" max="2571" width="8.77734375" style="3"/>
    <col min="2572" max="2572" width="6.44140625" style="3" customWidth="1"/>
    <col min="2573" max="2573" width="26.109375" style="3" customWidth="1"/>
    <col min="2574" max="2574" width="7.109375" style="3" customWidth="1"/>
    <col min="2575" max="2575" width="11.109375" style="3" customWidth="1"/>
    <col min="2576" max="2576" width="5.109375" style="3" bestFit="1" customWidth="1"/>
    <col min="2577" max="2580" width="8.77734375" style="3"/>
    <col min="2581" max="2581" width="7.44140625" style="3" bestFit="1" customWidth="1"/>
    <col min="2582" max="2586" width="9.109375" style="3" bestFit="1" customWidth="1"/>
    <col min="2587" max="2819" width="8.77734375" style="3"/>
    <col min="2820" max="2820" width="4.33203125" style="3" customWidth="1"/>
    <col min="2821" max="2821" width="4" style="3" customWidth="1"/>
    <col min="2822" max="2822" width="4.109375" style="3" customWidth="1"/>
    <col min="2823" max="2823" width="8" style="3" customWidth="1"/>
    <col min="2824" max="2825" width="8.109375" style="3" customWidth="1"/>
    <col min="2826" max="2826" width="9.109375" style="3" customWidth="1"/>
    <col min="2827" max="2827" width="8.77734375" style="3"/>
    <col min="2828" max="2828" width="6.44140625" style="3" customWidth="1"/>
    <col min="2829" max="2829" width="26.109375" style="3" customWidth="1"/>
    <col min="2830" max="2830" width="7.109375" style="3" customWidth="1"/>
    <col min="2831" max="2831" width="11.109375" style="3" customWidth="1"/>
    <col min="2832" max="2832" width="5.109375" style="3" bestFit="1" customWidth="1"/>
    <col min="2833" max="2836" width="8.77734375" style="3"/>
    <col min="2837" max="2837" width="7.44140625" style="3" bestFit="1" customWidth="1"/>
    <col min="2838" max="2842" width="9.109375" style="3" bestFit="1" customWidth="1"/>
    <col min="2843" max="3075" width="8.77734375" style="3"/>
    <col min="3076" max="3076" width="4.33203125" style="3" customWidth="1"/>
    <col min="3077" max="3077" width="4" style="3" customWidth="1"/>
    <col min="3078" max="3078" width="4.109375" style="3" customWidth="1"/>
    <col min="3079" max="3079" width="8" style="3" customWidth="1"/>
    <col min="3080" max="3081" width="8.109375" style="3" customWidth="1"/>
    <col min="3082" max="3082" width="9.109375" style="3" customWidth="1"/>
    <col min="3083" max="3083" width="8.77734375" style="3"/>
    <col min="3084" max="3084" width="6.44140625" style="3" customWidth="1"/>
    <col min="3085" max="3085" width="26.109375" style="3" customWidth="1"/>
    <col min="3086" max="3086" width="7.109375" style="3" customWidth="1"/>
    <col min="3087" max="3087" width="11.109375" style="3" customWidth="1"/>
    <col min="3088" max="3088" width="5.109375" style="3" bestFit="1" customWidth="1"/>
    <col min="3089" max="3092" width="8.77734375" style="3"/>
    <col min="3093" max="3093" width="7.44140625" style="3" bestFit="1" customWidth="1"/>
    <col min="3094" max="3098" width="9.109375" style="3" bestFit="1" customWidth="1"/>
    <col min="3099" max="3331" width="8.77734375" style="3"/>
    <col min="3332" max="3332" width="4.33203125" style="3" customWidth="1"/>
    <col min="3333" max="3333" width="4" style="3" customWidth="1"/>
    <col min="3334" max="3334" width="4.109375" style="3" customWidth="1"/>
    <col min="3335" max="3335" width="8" style="3" customWidth="1"/>
    <col min="3336" max="3337" width="8.109375" style="3" customWidth="1"/>
    <col min="3338" max="3338" width="9.109375" style="3" customWidth="1"/>
    <col min="3339" max="3339" width="8.77734375" style="3"/>
    <col min="3340" max="3340" width="6.44140625" style="3" customWidth="1"/>
    <col min="3341" max="3341" width="26.109375" style="3" customWidth="1"/>
    <col min="3342" max="3342" width="7.109375" style="3" customWidth="1"/>
    <col min="3343" max="3343" width="11.109375" style="3" customWidth="1"/>
    <col min="3344" max="3344" width="5.109375" style="3" bestFit="1" customWidth="1"/>
    <col min="3345" max="3348" width="8.77734375" style="3"/>
    <col min="3349" max="3349" width="7.44140625" style="3" bestFit="1" customWidth="1"/>
    <col min="3350" max="3354" width="9.109375" style="3" bestFit="1" customWidth="1"/>
    <col min="3355" max="3587" width="8.77734375" style="3"/>
    <col min="3588" max="3588" width="4.33203125" style="3" customWidth="1"/>
    <col min="3589" max="3589" width="4" style="3" customWidth="1"/>
    <col min="3590" max="3590" width="4.109375" style="3" customWidth="1"/>
    <col min="3591" max="3591" width="8" style="3" customWidth="1"/>
    <col min="3592" max="3593" width="8.109375" style="3" customWidth="1"/>
    <col min="3594" max="3594" width="9.109375" style="3" customWidth="1"/>
    <col min="3595" max="3595" width="8.77734375" style="3"/>
    <col min="3596" max="3596" width="6.44140625" style="3" customWidth="1"/>
    <col min="3597" max="3597" width="26.109375" style="3" customWidth="1"/>
    <col min="3598" max="3598" width="7.109375" style="3" customWidth="1"/>
    <col min="3599" max="3599" width="11.109375" style="3" customWidth="1"/>
    <col min="3600" max="3600" width="5.109375" style="3" bestFit="1" customWidth="1"/>
    <col min="3601" max="3604" width="8.77734375" style="3"/>
    <col min="3605" max="3605" width="7.44140625" style="3" bestFit="1" customWidth="1"/>
    <col min="3606" max="3610" width="9.109375" style="3" bestFit="1" customWidth="1"/>
    <col min="3611" max="3843" width="8.77734375" style="3"/>
    <col min="3844" max="3844" width="4.33203125" style="3" customWidth="1"/>
    <col min="3845" max="3845" width="4" style="3" customWidth="1"/>
    <col min="3846" max="3846" width="4.109375" style="3" customWidth="1"/>
    <col min="3847" max="3847" width="8" style="3" customWidth="1"/>
    <col min="3848" max="3849" width="8.109375" style="3" customWidth="1"/>
    <col min="3850" max="3850" width="9.109375" style="3" customWidth="1"/>
    <col min="3851" max="3851" width="8.77734375" style="3"/>
    <col min="3852" max="3852" width="6.44140625" style="3" customWidth="1"/>
    <col min="3853" max="3853" width="26.109375" style="3" customWidth="1"/>
    <col min="3854" max="3854" width="7.109375" style="3" customWidth="1"/>
    <col min="3855" max="3855" width="11.109375" style="3" customWidth="1"/>
    <col min="3856" max="3856" width="5.109375" style="3" bestFit="1" customWidth="1"/>
    <col min="3857" max="3860" width="8.77734375" style="3"/>
    <col min="3861" max="3861" width="7.44140625" style="3" bestFit="1" customWidth="1"/>
    <col min="3862" max="3866" width="9.109375" style="3" bestFit="1" customWidth="1"/>
    <col min="3867" max="4099" width="8.77734375" style="3"/>
    <col min="4100" max="4100" width="4.33203125" style="3" customWidth="1"/>
    <col min="4101" max="4101" width="4" style="3" customWidth="1"/>
    <col min="4102" max="4102" width="4.109375" style="3" customWidth="1"/>
    <col min="4103" max="4103" width="8" style="3" customWidth="1"/>
    <col min="4104" max="4105" width="8.109375" style="3" customWidth="1"/>
    <col min="4106" max="4106" width="9.109375" style="3" customWidth="1"/>
    <col min="4107" max="4107" width="8.77734375" style="3"/>
    <col min="4108" max="4108" width="6.44140625" style="3" customWidth="1"/>
    <col min="4109" max="4109" width="26.109375" style="3" customWidth="1"/>
    <col min="4110" max="4110" width="7.109375" style="3" customWidth="1"/>
    <col min="4111" max="4111" width="11.109375" style="3" customWidth="1"/>
    <col min="4112" max="4112" width="5.109375" style="3" bestFit="1" customWidth="1"/>
    <col min="4113" max="4116" width="8.77734375" style="3"/>
    <col min="4117" max="4117" width="7.44140625" style="3" bestFit="1" customWidth="1"/>
    <col min="4118" max="4122" width="9.109375" style="3" bestFit="1" customWidth="1"/>
    <col min="4123" max="4355" width="8.77734375" style="3"/>
    <col min="4356" max="4356" width="4.33203125" style="3" customWidth="1"/>
    <col min="4357" max="4357" width="4" style="3" customWidth="1"/>
    <col min="4358" max="4358" width="4.109375" style="3" customWidth="1"/>
    <col min="4359" max="4359" width="8" style="3" customWidth="1"/>
    <col min="4360" max="4361" width="8.109375" style="3" customWidth="1"/>
    <col min="4362" max="4362" width="9.109375" style="3" customWidth="1"/>
    <col min="4363" max="4363" width="8.77734375" style="3"/>
    <col min="4364" max="4364" width="6.44140625" style="3" customWidth="1"/>
    <col min="4365" max="4365" width="26.109375" style="3" customWidth="1"/>
    <col min="4366" max="4366" width="7.109375" style="3" customWidth="1"/>
    <col min="4367" max="4367" width="11.109375" style="3" customWidth="1"/>
    <col min="4368" max="4368" width="5.109375" style="3" bestFit="1" customWidth="1"/>
    <col min="4369" max="4372" width="8.77734375" style="3"/>
    <col min="4373" max="4373" width="7.44140625" style="3" bestFit="1" customWidth="1"/>
    <col min="4374" max="4378" width="9.109375" style="3" bestFit="1" customWidth="1"/>
    <col min="4379" max="4611" width="8.77734375" style="3"/>
    <col min="4612" max="4612" width="4.33203125" style="3" customWidth="1"/>
    <col min="4613" max="4613" width="4" style="3" customWidth="1"/>
    <col min="4614" max="4614" width="4.109375" style="3" customWidth="1"/>
    <col min="4615" max="4615" width="8" style="3" customWidth="1"/>
    <col min="4616" max="4617" width="8.109375" style="3" customWidth="1"/>
    <col min="4618" max="4618" width="9.109375" style="3" customWidth="1"/>
    <col min="4619" max="4619" width="8.77734375" style="3"/>
    <col min="4620" max="4620" width="6.44140625" style="3" customWidth="1"/>
    <col min="4621" max="4621" width="26.109375" style="3" customWidth="1"/>
    <col min="4622" max="4622" width="7.109375" style="3" customWidth="1"/>
    <col min="4623" max="4623" width="11.109375" style="3" customWidth="1"/>
    <col min="4624" max="4624" width="5.109375" style="3" bestFit="1" customWidth="1"/>
    <col min="4625" max="4628" width="8.77734375" style="3"/>
    <col min="4629" max="4629" width="7.44140625" style="3" bestFit="1" customWidth="1"/>
    <col min="4630" max="4634" width="9.109375" style="3" bestFit="1" customWidth="1"/>
    <col min="4635" max="4867" width="8.77734375" style="3"/>
    <col min="4868" max="4868" width="4.33203125" style="3" customWidth="1"/>
    <col min="4869" max="4869" width="4" style="3" customWidth="1"/>
    <col min="4870" max="4870" width="4.109375" style="3" customWidth="1"/>
    <col min="4871" max="4871" width="8" style="3" customWidth="1"/>
    <col min="4872" max="4873" width="8.109375" style="3" customWidth="1"/>
    <col min="4874" max="4874" width="9.109375" style="3" customWidth="1"/>
    <col min="4875" max="4875" width="8.77734375" style="3"/>
    <col min="4876" max="4876" width="6.44140625" style="3" customWidth="1"/>
    <col min="4877" max="4877" width="26.109375" style="3" customWidth="1"/>
    <col min="4878" max="4878" width="7.109375" style="3" customWidth="1"/>
    <col min="4879" max="4879" width="11.109375" style="3" customWidth="1"/>
    <col min="4880" max="4880" width="5.109375" style="3" bestFit="1" customWidth="1"/>
    <col min="4881" max="4884" width="8.77734375" style="3"/>
    <col min="4885" max="4885" width="7.44140625" style="3" bestFit="1" customWidth="1"/>
    <col min="4886" max="4890" width="9.109375" style="3" bestFit="1" customWidth="1"/>
    <col min="4891" max="5123" width="8.77734375" style="3"/>
    <col min="5124" max="5124" width="4.33203125" style="3" customWidth="1"/>
    <col min="5125" max="5125" width="4" style="3" customWidth="1"/>
    <col min="5126" max="5126" width="4.109375" style="3" customWidth="1"/>
    <col min="5127" max="5127" width="8" style="3" customWidth="1"/>
    <col min="5128" max="5129" width="8.109375" style="3" customWidth="1"/>
    <col min="5130" max="5130" width="9.109375" style="3" customWidth="1"/>
    <col min="5131" max="5131" width="8.77734375" style="3"/>
    <col min="5132" max="5132" width="6.44140625" style="3" customWidth="1"/>
    <col min="5133" max="5133" width="26.109375" style="3" customWidth="1"/>
    <col min="5134" max="5134" width="7.109375" style="3" customWidth="1"/>
    <col min="5135" max="5135" width="11.109375" style="3" customWidth="1"/>
    <col min="5136" max="5136" width="5.109375" style="3" bestFit="1" customWidth="1"/>
    <col min="5137" max="5140" width="8.77734375" style="3"/>
    <col min="5141" max="5141" width="7.44140625" style="3" bestFit="1" customWidth="1"/>
    <col min="5142" max="5146" width="9.109375" style="3" bestFit="1" customWidth="1"/>
    <col min="5147" max="5379" width="8.77734375" style="3"/>
    <col min="5380" max="5380" width="4.33203125" style="3" customWidth="1"/>
    <col min="5381" max="5381" width="4" style="3" customWidth="1"/>
    <col min="5382" max="5382" width="4.109375" style="3" customWidth="1"/>
    <col min="5383" max="5383" width="8" style="3" customWidth="1"/>
    <col min="5384" max="5385" width="8.109375" style="3" customWidth="1"/>
    <col min="5386" max="5386" width="9.109375" style="3" customWidth="1"/>
    <col min="5387" max="5387" width="8.77734375" style="3"/>
    <col min="5388" max="5388" width="6.44140625" style="3" customWidth="1"/>
    <col min="5389" max="5389" width="26.109375" style="3" customWidth="1"/>
    <col min="5390" max="5390" width="7.109375" style="3" customWidth="1"/>
    <col min="5391" max="5391" width="11.109375" style="3" customWidth="1"/>
    <col min="5392" max="5392" width="5.109375" style="3" bestFit="1" customWidth="1"/>
    <col min="5393" max="5396" width="8.77734375" style="3"/>
    <col min="5397" max="5397" width="7.44140625" style="3" bestFit="1" customWidth="1"/>
    <col min="5398" max="5402" width="9.109375" style="3" bestFit="1" customWidth="1"/>
    <col min="5403" max="5635" width="8.77734375" style="3"/>
    <col min="5636" max="5636" width="4.33203125" style="3" customWidth="1"/>
    <col min="5637" max="5637" width="4" style="3" customWidth="1"/>
    <col min="5638" max="5638" width="4.109375" style="3" customWidth="1"/>
    <col min="5639" max="5639" width="8" style="3" customWidth="1"/>
    <col min="5640" max="5641" width="8.109375" style="3" customWidth="1"/>
    <col min="5642" max="5642" width="9.109375" style="3" customWidth="1"/>
    <col min="5643" max="5643" width="8.77734375" style="3"/>
    <col min="5644" max="5644" width="6.44140625" style="3" customWidth="1"/>
    <col min="5645" max="5645" width="26.109375" style="3" customWidth="1"/>
    <col min="5646" max="5646" width="7.109375" style="3" customWidth="1"/>
    <col min="5647" max="5647" width="11.109375" style="3" customWidth="1"/>
    <col min="5648" max="5648" width="5.109375" style="3" bestFit="1" customWidth="1"/>
    <col min="5649" max="5652" width="8.77734375" style="3"/>
    <col min="5653" max="5653" width="7.44140625" style="3" bestFit="1" customWidth="1"/>
    <col min="5654" max="5658" width="9.109375" style="3" bestFit="1" customWidth="1"/>
    <col min="5659" max="5891" width="8.77734375" style="3"/>
    <col min="5892" max="5892" width="4.33203125" style="3" customWidth="1"/>
    <col min="5893" max="5893" width="4" style="3" customWidth="1"/>
    <col min="5894" max="5894" width="4.109375" style="3" customWidth="1"/>
    <col min="5895" max="5895" width="8" style="3" customWidth="1"/>
    <col min="5896" max="5897" width="8.109375" style="3" customWidth="1"/>
    <col min="5898" max="5898" width="9.109375" style="3" customWidth="1"/>
    <col min="5899" max="5899" width="8.77734375" style="3"/>
    <col min="5900" max="5900" width="6.44140625" style="3" customWidth="1"/>
    <col min="5901" max="5901" width="26.109375" style="3" customWidth="1"/>
    <col min="5902" max="5902" width="7.109375" style="3" customWidth="1"/>
    <col min="5903" max="5903" width="11.109375" style="3" customWidth="1"/>
    <col min="5904" max="5904" width="5.109375" style="3" bestFit="1" customWidth="1"/>
    <col min="5905" max="5908" width="8.77734375" style="3"/>
    <col min="5909" max="5909" width="7.44140625" style="3" bestFit="1" customWidth="1"/>
    <col min="5910" max="5914" width="9.109375" style="3" bestFit="1" customWidth="1"/>
    <col min="5915" max="6147" width="8.77734375" style="3"/>
    <col min="6148" max="6148" width="4.33203125" style="3" customWidth="1"/>
    <col min="6149" max="6149" width="4" style="3" customWidth="1"/>
    <col min="6150" max="6150" width="4.109375" style="3" customWidth="1"/>
    <col min="6151" max="6151" width="8" style="3" customWidth="1"/>
    <col min="6152" max="6153" width="8.109375" style="3" customWidth="1"/>
    <col min="6154" max="6154" width="9.109375" style="3" customWidth="1"/>
    <col min="6155" max="6155" width="8.77734375" style="3"/>
    <col min="6156" max="6156" width="6.44140625" style="3" customWidth="1"/>
    <col min="6157" max="6157" width="26.109375" style="3" customWidth="1"/>
    <col min="6158" max="6158" width="7.109375" style="3" customWidth="1"/>
    <col min="6159" max="6159" width="11.109375" style="3" customWidth="1"/>
    <col min="6160" max="6160" width="5.109375" style="3" bestFit="1" customWidth="1"/>
    <col min="6161" max="6164" width="8.77734375" style="3"/>
    <col min="6165" max="6165" width="7.44140625" style="3" bestFit="1" customWidth="1"/>
    <col min="6166" max="6170" width="9.109375" style="3" bestFit="1" customWidth="1"/>
    <col min="6171" max="6403" width="8.77734375" style="3"/>
    <col min="6404" max="6404" width="4.33203125" style="3" customWidth="1"/>
    <col min="6405" max="6405" width="4" style="3" customWidth="1"/>
    <col min="6406" max="6406" width="4.109375" style="3" customWidth="1"/>
    <col min="6407" max="6407" width="8" style="3" customWidth="1"/>
    <col min="6408" max="6409" width="8.109375" style="3" customWidth="1"/>
    <col min="6410" max="6410" width="9.109375" style="3" customWidth="1"/>
    <col min="6411" max="6411" width="8.77734375" style="3"/>
    <col min="6412" max="6412" width="6.44140625" style="3" customWidth="1"/>
    <col min="6413" max="6413" width="26.109375" style="3" customWidth="1"/>
    <col min="6414" max="6414" width="7.109375" style="3" customWidth="1"/>
    <col min="6415" max="6415" width="11.109375" style="3" customWidth="1"/>
    <col min="6416" max="6416" width="5.109375" style="3" bestFit="1" customWidth="1"/>
    <col min="6417" max="6420" width="8.77734375" style="3"/>
    <col min="6421" max="6421" width="7.44140625" style="3" bestFit="1" customWidth="1"/>
    <col min="6422" max="6426" width="9.109375" style="3" bestFit="1" customWidth="1"/>
    <col min="6427" max="6659" width="8.77734375" style="3"/>
    <col min="6660" max="6660" width="4.33203125" style="3" customWidth="1"/>
    <col min="6661" max="6661" width="4" style="3" customWidth="1"/>
    <col min="6662" max="6662" width="4.109375" style="3" customWidth="1"/>
    <col min="6663" max="6663" width="8" style="3" customWidth="1"/>
    <col min="6664" max="6665" width="8.109375" style="3" customWidth="1"/>
    <col min="6666" max="6666" width="9.109375" style="3" customWidth="1"/>
    <col min="6667" max="6667" width="8.77734375" style="3"/>
    <col min="6668" max="6668" width="6.44140625" style="3" customWidth="1"/>
    <col min="6669" max="6669" width="26.109375" style="3" customWidth="1"/>
    <col min="6670" max="6670" width="7.109375" style="3" customWidth="1"/>
    <col min="6671" max="6671" width="11.109375" style="3" customWidth="1"/>
    <col min="6672" max="6672" width="5.109375" style="3" bestFit="1" customWidth="1"/>
    <col min="6673" max="6676" width="8.77734375" style="3"/>
    <col min="6677" max="6677" width="7.44140625" style="3" bestFit="1" customWidth="1"/>
    <col min="6678" max="6682" width="9.109375" style="3" bestFit="1" customWidth="1"/>
    <col min="6683" max="6915" width="8.77734375" style="3"/>
    <col min="6916" max="6916" width="4.33203125" style="3" customWidth="1"/>
    <col min="6917" max="6917" width="4" style="3" customWidth="1"/>
    <col min="6918" max="6918" width="4.109375" style="3" customWidth="1"/>
    <col min="6919" max="6919" width="8" style="3" customWidth="1"/>
    <col min="6920" max="6921" width="8.109375" style="3" customWidth="1"/>
    <col min="6922" max="6922" width="9.109375" style="3" customWidth="1"/>
    <col min="6923" max="6923" width="8.77734375" style="3"/>
    <col min="6924" max="6924" width="6.44140625" style="3" customWidth="1"/>
    <col min="6925" max="6925" width="26.109375" style="3" customWidth="1"/>
    <col min="6926" max="6926" width="7.109375" style="3" customWidth="1"/>
    <col min="6927" max="6927" width="11.109375" style="3" customWidth="1"/>
    <col min="6928" max="6928" width="5.109375" style="3" bestFit="1" customWidth="1"/>
    <col min="6929" max="6932" width="8.77734375" style="3"/>
    <col min="6933" max="6933" width="7.44140625" style="3" bestFit="1" customWidth="1"/>
    <col min="6934" max="6938" width="9.109375" style="3" bestFit="1" customWidth="1"/>
    <col min="6939" max="7171" width="8.77734375" style="3"/>
    <col min="7172" max="7172" width="4.33203125" style="3" customWidth="1"/>
    <col min="7173" max="7173" width="4" style="3" customWidth="1"/>
    <col min="7174" max="7174" width="4.109375" style="3" customWidth="1"/>
    <col min="7175" max="7175" width="8" style="3" customWidth="1"/>
    <col min="7176" max="7177" width="8.109375" style="3" customWidth="1"/>
    <col min="7178" max="7178" width="9.109375" style="3" customWidth="1"/>
    <col min="7179" max="7179" width="8.77734375" style="3"/>
    <col min="7180" max="7180" width="6.44140625" style="3" customWidth="1"/>
    <col min="7181" max="7181" width="26.109375" style="3" customWidth="1"/>
    <col min="7182" max="7182" width="7.109375" style="3" customWidth="1"/>
    <col min="7183" max="7183" width="11.109375" style="3" customWidth="1"/>
    <col min="7184" max="7184" width="5.109375" style="3" bestFit="1" customWidth="1"/>
    <col min="7185" max="7188" width="8.77734375" style="3"/>
    <col min="7189" max="7189" width="7.44140625" style="3" bestFit="1" customWidth="1"/>
    <col min="7190" max="7194" width="9.109375" style="3" bestFit="1" customWidth="1"/>
    <col min="7195" max="7427" width="8.77734375" style="3"/>
    <col min="7428" max="7428" width="4.33203125" style="3" customWidth="1"/>
    <col min="7429" max="7429" width="4" style="3" customWidth="1"/>
    <col min="7430" max="7430" width="4.109375" style="3" customWidth="1"/>
    <col min="7431" max="7431" width="8" style="3" customWidth="1"/>
    <col min="7432" max="7433" width="8.109375" style="3" customWidth="1"/>
    <col min="7434" max="7434" width="9.109375" style="3" customWidth="1"/>
    <col min="7435" max="7435" width="8.77734375" style="3"/>
    <col min="7436" max="7436" width="6.44140625" style="3" customWidth="1"/>
    <col min="7437" max="7437" width="26.109375" style="3" customWidth="1"/>
    <col min="7438" max="7438" width="7.109375" style="3" customWidth="1"/>
    <col min="7439" max="7439" width="11.109375" style="3" customWidth="1"/>
    <col min="7440" max="7440" width="5.109375" style="3" bestFit="1" customWidth="1"/>
    <col min="7441" max="7444" width="8.77734375" style="3"/>
    <col min="7445" max="7445" width="7.44140625" style="3" bestFit="1" customWidth="1"/>
    <col min="7446" max="7450" width="9.109375" style="3" bestFit="1" customWidth="1"/>
    <col min="7451" max="7683" width="8.77734375" style="3"/>
    <col min="7684" max="7684" width="4.33203125" style="3" customWidth="1"/>
    <col min="7685" max="7685" width="4" style="3" customWidth="1"/>
    <col min="7686" max="7686" width="4.109375" style="3" customWidth="1"/>
    <col min="7687" max="7687" width="8" style="3" customWidth="1"/>
    <col min="7688" max="7689" width="8.109375" style="3" customWidth="1"/>
    <col min="7690" max="7690" width="9.109375" style="3" customWidth="1"/>
    <col min="7691" max="7691" width="8.77734375" style="3"/>
    <col min="7692" max="7692" width="6.44140625" style="3" customWidth="1"/>
    <col min="7693" max="7693" width="26.109375" style="3" customWidth="1"/>
    <col min="7694" max="7694" width="7.109375" style="3" customWidth="1"/>
    <col min="7695" max="7695" width="11.109375" style="3" customWidth="1"/>
    <col min="7696" max="7696" width="5.109375" style="3" bestFit="1" customWidth="1"/>
    <col min="7697" max="7700" width="8.77734375" style="3"/>
    <col min="7701" max="7701" width="7.44140625" style="3" bestFit="1" customWidth="1"/>
    <col min="7702" max="7706" width="9.109375" style="3" bestFit="1" customWidth="1"/>
    <col min="7707" max="7939" width="8.77734375" style="3"/>
    <col min="7940" max="7940" width="4.33203125" style="3" customWidth="1"/>
    <col min="7941" max="7941" width="4" style="3" customWidth="1"/>
    <col min="7942" max="7942" width="4.109375" style="3" customWidth="1"/>
    <col min="7943" max="7943" width="8" style="3" customWidth="1"/>
    <col min="7944" max="7945" width="8.109375" style="3" customWidth="1"/>
    <col min="7946" max="7946" width="9.109375" style="3" customWidth="1"/>
    <col min="7947" max="7947" width="8.77734375" style="3"/>
    <col min="7948" max="7948" width="6.44140625" style="3" customWidth="1"/>
    <col min="7949" max="7949" width="26.109375" style="3" customWidth="1"/>
    <col min="7950" max="7950" width="7.109375" style="3" customWidth="1"/>
    <col min="7951" max="7951" width="11.109375" style="3" customWidth="1"/>
    <col min="7952" max="7952" width="5.109375" style="3" bestFit="1" customWidth="1"/>
    <col min="7953" max="7956" width="8.77734375" style="3"/>
    <col min="7957" max="7957" width="7.44140625" style="3" bestFit="1" customWidth="1"/>
    <col min="7958" max="7962" width="9.109375" style="3" bestFit="1" customWidth="1"/>
    <col min="7963" max="8195" width="8.77734375" style="3"/>
    <col min="8196" max="8196" width="4.33203125" style="3" customWidth="1"/>
    <col min="8197" max="8197" width="4" style="3" customWidth="1"/>
    <col min="8198" max="8198" width="4.109375" style="3" customWidth="1"/>
    <col min="8199" max="8199" width="8" style="3" customWidth="1"/>
    <col min="8200" max="8201" width="8.109375" style="3" customWidth="1"/>
    <col min="8202" max="8202" width="9.109375" style="3" customWidth="1"/>
    <col min="8203" max="8203" width="8.77734375" style="3"/>
    <col min="8204" max="8204" width="6.44140625" style="3" customWidth="1"/>
    <col min="8205" max="8205" width="26.109375" style="3" customWidth="1"/>
    <col min="8206" max="8206" width="7.109375" style="3" customWidth="1"/>
    <col min="8207" max="8207" width="11.109375" style="3" customWidth="1"/>
    <col min="8208" max="8208" width="5.109375" style="3" bestFit="1" customWidth="1"/>
    <col min="8209" max="8212" width="8.77734375" style="3"/>
    <col min="8213" max="8213" width="7.44140625" style="3" bestFit="1" customWidth="1"/>
    <col min="8214" max="8218" width="9.109375" style="3" bestFit="1" customWidth="1"/>
    <col min="8219" max="8451" width="8.77734375" style="3"/>
    <col min="8452" max="8452" width="4.33203125" style="3" customWidth="1"/>
    <col min="8453" max="8453" width="4" style="3" customWidth="1"/>
    <col min="8454" max="8454" width="4.109375" style="3" customWidth="1"/>
    <col min="8455" max="8455" width="8" style="3" customWidth="1"/>
    <col min="8456" max="8457" width="8.109375" style="3" customWidth="1"/>
    <col min="8458" max="8458" width="9.109375" style="3" customWidth="1"/>
    <col min="8459" max="8459" width="8.77734375" style="3"/>
    <col min="8460" max="8460" width="6.44140625" style="3" customWidth="1"/>
    <col min="8461" max="8461" width="26.109375" style="3" customWidth="1"/>
    <col min="8462" max="8462" width="7.109375" style="3" customWidth="1"/>
    <col min="8463" max="8463" width="11.109375" style="3" customWidth="1"/>
    <col min="8464" max="8464" width="5.109375" style="3" bestFit="1" customWidth="1"/>
    <col min="8465" max="8468" width="8.77734375" style="3"/>
    <col min="8469" max="8469" width="7.44140625" style="3" bestFit="1" customWidth="1"/>
    <col min="8470" max="8474" width="9.109375" style="3" bestFit="1" customWidth="1"/>
    <col min="8475" max="8707" width="8.77734375" style="3"/>
    <col min="8708" max="8708" width="4.33203125" style="3" customWidth="1"/>
    <col min="8709" max="8709" width="4" style="3" customWidth="1"/>
    <col min="8710" max="8710" width="4.109375" style="3" customWidth="1"/>
    <col min="8711" max="8711" width="8" style="3" customWidth="1"/>
    <col min="8712" max="8713" width="8.109375" style="3" customWidth="1"/>
    <col min="8714" max="8714" width="9.109375" style="3" customWidth="1"/>
    <col min="8715" max="8715" width="8.77734375" style="3"/>
    <col min="8716" max="8716" width="6.44140625" style="3" customWidth="1"/>
    <col min="8717" max="8717" width="26.109375" style="3" customWidth="1"/>
    <col min="8718" max="8718" width="7.109375" style="3" customWidth="1"/>
    <col min="8719" max="8719" width="11.109375" style="3" customWidth="1"/>
    <col min="8720" max="8720" width="5.109375" style="3" bestFit="1" customWidth="1"/>
    <col min="8721" max="8724" width="8.77734375" style="3"/>
    <col min="8725" max="8725" width="7.44140625" style="3" bestFit="1" customWidth="1"/>
    <col min="8726" max="8730" width="9.109375" style="3" bestFit="1" customWidth="1"/>
    <col min="8731" max="8963" width="8.77734375" style="3"/>
    <col min="8964" max="8964" width="4.33203125" style="3" customWidth="1"/>
    <col min="8965" max="8965" width="4" style="3" customWidth="1"/>
    <col min="8966" max="8966" width="4.109375" style="3" customWidth="1"/>
    <col min="8967" max="8967" width="8" style="3" customWidth="1"/>
    <col min="8968" max="8969" width="8.109375" style="3" customWidth="1"/>
    <col min="8970" max="8970" width="9.109375" style="3" customWidth="1"/>
    <col min="8971" max="8971" width="8.77734375" style="3"/>
    <col min="8972" max="8972" width="6.44140625" style="3" customWidth="1"/>
    <col min="8973" max="8973" width="26.109375" style="3" customWidth="1"/>
    <col min="8974" max="8974" width="7.109375" style="3" customWidth="1"/>
    <col min="8975" max="8975" width="11.109375" style="3" customWidth="1"/>
    <col min="8976" max="8976" width="5.109375" style="3" bestFit="1" customWidth="1"/>
    <col min="8977" max="8980" width="8.77734375" style="3"/>
    <col min="8981" max="8981" width="7.44140625" style="3" bestFit="1" customWidth="1"/>
    <col min="8982" max="8986" width="9.109375" style="3" bestFit="1" customWidth="1"/>
    <col min="8987" max="9219" width="8.77734375" style="3"/>
    <col min="9220" max="9220" width="4.33203125" style="3" customWidth="1"/>
    <col min="9221" max="9221" width="4" style="3" customWidth="1"/>
    <col min="9222" max="9222" width="4.109375" style="3" customWidth="1"/>
    <col min="9223" max="9223" width="8" style="3" customWidth="1"/>
    <col min="9224" max="9225" width="8.109375" style="3" customWidth="1"/>
    <col min="9226" max="9226" width="9.109375" style="3" customWidth="1"/>
    <col min="9227" max="9227" width="8.77734375" style="3"/>
    <col min="9228" max="9228" width="6.44140625" style="3" customWidth="1"/>
    <col min="9229" max="9229" width="26.109375" style="3" customWidth="1"/>
    <col min="9230" max="9230" width="7.109375" style="3" customWidth="1"/>
    <col min="9231" max="9231" width="11.109375" style="3" customWidth="1"/>
    <col min="9232" max="9232" width="5.109375" style="3" bestFit="1" customWidth="1"/>
    <col min="9233" max="9236" width="8.77734375" style="3"/>
    <col min="9237" max="9237" width="7.44140625" style="3" bestFit="1" customWidth="1"/>
    <col min="9238" max="9242" width="9.109375" style="3" bestFit="1" customWidth="1"/>
    <col min="9243" max="9475" width="8.77734375" style="3"/>
    <col min="9476" max="9476" width="4.33203125" style="3" customWidth="1"/>
    <col min="9477" max="9477" width="4" style="3" customWidth="1"/>
    <col min="9478" max="9478" width="4.109375" style="3" customWidth="1"/>
    <col min="9479" max="9479" width="8" style="3" customWidth="1"/>
    <col min="9480" max="9481" width="8.109375" style="3" customWidth="1"/>
    <col min="9482" max="9482" width="9.109375" style="3" customWidth="1"/>
    <col min="9483" max="9483" width="8.77734375" style="3"/>
    <col min="9484" max="9484" width="6.44140625" style="3" customWidth="1"/>
    <col min="9485" max="9485" width="26.109375" style="3" customWidth="1"/>
    <col min="9486" max="9486" width="7.109375" style="3" customWidth="1"/>
    <col min="9487" max="9487" width="11.109375" style="3" customWidth="1"/>
    <col min="9488" max="9488" width="5.109375" style="3" bestFit="1" customWidth="1"/>
    <col min="9489" max="9492" width="8.77734375" style="3"/>
    <col min="9493" max="9493" width="7.44140625" style="3" bestFit="1" customWidth="1"/>
    <col min="9494" max="9498" width="9.109375" style="3" bestFit="1" customWidth="1"/>
    <col min="9499" max="9731" width="8.77734375" style="3"/>
    <col min="9732" max="9732" width="4.33203125" style="3" customWidth="1"/>
    <col min="9733" max="9733" width="4" style="3" customWidth="1"/>
    <col min="9734" max="9734" width="4.109375" style="3" customWidth="1"/>
    <col min="9735" max="9735" width="8" style="3" customWidth="1"/>
    <col min="9736" max="9737" width="8.109375" style="3" customWidth="1"/>
    <col min="9738" max="9738" width="9.109375" style="3" customWidth="1"/>
    <col min="9739" max="9739" width="8.77734375" style="3"/>
    <col min="9740" max="9740" width="6.44140625" style="3" customWidth="1"/>
    <col min="9741" max="9741" width="26.109375" style="3" customWidth="1"/>
    <col min="9742" max="9742" width="7.109375" style="3" customWidth="1"/>
    <col min="9743" max="9743" width="11.109375" style="3" customWidth="1"/>
    <col min="9744" max="9744" width="5.109375" style="3" bestFit="1" customWidth="1"/>
    <col min="9745" max="9748" width="8.77734375" style="3"/>
    <col min="9749" max="9749" width="7.44140625" style="3" bestFit="1" customWidth="1"/>
    <col min="9750" max="9754" width="9.109375" style="3" bestFit="1" customWidth="1"/>
    <col min="9755" max="9987" width="8.77734375" style="3"/>
    <col min="9988" max="9988" width="4.33203125" style="3" customWidth="1"/>
    <col min="9989" max="9989" width="4" style="3" customWidth="1"/>
    <col min="9990" max="9990" width="4.109375" style="3" customWidth="1"/>
    <col min="9991" max="9991" width="8" style="3" customWidth="1"/>
    <col min="9992" max="9993" width="8.109375" style="3" customWidth="1"/>
    <col min="9994" max="9994" width="9.109375" style="3" customWidth="1"/>
    <col min="9995" max="9995" width="8.77734375" style="3"/>
    <col min="9996" max="9996" width="6.44140625" style="3" customWidth="1"/>
    <col min="9997" max="9997" width="26.109375" style="3" customWidth="1"/>
    <col min="9998" max="9998" width="7.109375" style="3" customWidth="1"/>
    <col min="9999" max="9999" width="11.109375" style="3" customWidth="1"/>
    <col min="10000" max="10000" width="5.109375" style="3" bestFit="1" customWidth="1"/>
    <col min="10001" max="10004" width="8.77734375" style="3"/>
    <col min="10005" max="10005" width="7.44140625" style="3" bestFit="1" customWidth="1"/>
    <col min="10006" max="10010" width="9.109375" style="3" bestFit="1" customWidth="1"/>
    <col min="10011" max="10243" width="8.77734375" style="3"/>
    <col min="10244" max="10244" width="4.33203125" style="3" customWidth="1"/>
    <col min="10245" max="10245" width="4" style="3" customWidth="1"/>
    <col min="10246" max="10246" width="4.109375" style="3" customWidth="1"/>
    <col min="10247" max="10247" width="8" style="3" customWidth="1"/>
    <col min="10248" max="10249" width="8.109375" style="3" customWidth="1"/>
    <col min="10250" max="10250" width="9.109375" style="3" customWidth="1"/>
    <col min="10251" max="10251" width="8.77734375" style="3"/>
    <col min="10252" max="10252" width="6.44140625" style="3" customWidth="1"/>
    <col min="10253" max="10253" width="26.109375" style="3" customWidth="1"/>
    <col min="10254" max="10254" width="7.109375" style="3" customWidth="1"/>
    <col min="10255" max="10255" width="11.109375" style="3" customWidth="1"/>
    <col min="10256" max="10256" width="5.109375" style="3" bestFit="1" customWidth="1"/>
    <col min="10257" max="10260" width="8.77734375" style="3"/>
    <col min="10261" max="10261" width="7.44140625" style="3" bestFit="1" customWidth="1"/>
    <col min="10262" max="10266" width="9.109375" style="3" bestFit="1" customWidth="1"/>
    <col min="10267" max="10499" width="8.77734375" style="3"/>
    <col min="10500" max="10500" width="4.33203125" style="3" customWidth="1"/>
    <col min="10501" max="10501" width="4" style="3" customWidth="1"/>
    <col min="10502" max="10502" width="4.109375" style="3" customWidth="1"/>
    <col min="10503" max="10503" width="8" style="3" customWidth="1"/>
    <col min="10504" max="10505" width="8.109375" style="3" customWidth="1"/>
    <col min="10506" max="10506" width="9.109375" style="3" customWidth="1"/>
    <col min="10507" max="10507" width="8.77734375" style="3"/>
    <col min="10508" max="10508" width="6.44140625" style="3" customWidth="1"/>
    <col min="10509" max="10509" width="26.109375" style="3" customWidth="1"/>
    <col min="10510" max="10510" width="7.109375" style="3" customWidth="1"/>
    <col min="10511" max="10511" width="11.109375" style="3" customWidth="1"/>
    <col min="10512" max="10512" width="5.109375" style="3" bestFit="1" customWidth="1"/>
    <col min="10513" max="10516" width="8.77734375" style="3"/>
    <col min="10517" max="10517" width="7.44140625" style="3" bestFit="1" customWidth="1"/>
    <col min="10518" max="10522" width="9.109375" style="3" bestFit="1" customWidth="1"/>
    <col min="10523" max="10755" width="8.77734375" style="3"/>
    <col min="10756" max="10756" width="4.33203125" style="3" customWidth="1"/>
    <col min="10757" max="10757" width="4" style="3" customWidth="1"/>
    <col min="10758" max="10758" width="4.109375" style="3" customWidth="1"/>
    <col min="10759" max="10759" width="8" style="3" customWidth="1"/>
    <col min="10760" max="10761" width="8.109375" style="3" customWidth="1"/>
    <col min="10762" max="10762" width="9.109375" style="3" customWidth="1"/>
    <col min="10763" max="10763" width="8.77734375" style="3"/>
    <col min="10764" max="10764" width="6.44140625" style="3" customWidth="1"/>
    <col min="10765" max="10765" width="26.109375" style="3" customWidth="1"/>
    <col min="10766" max="10766" width="7.109375" style="3" customWidth="1"/>
    <col min="10767" max="10767" width="11.109375" style="3" customWidth="1"/>
    <col min="10768" max="10768" width="5.109375" style="3" bestFit="1" customWidth="1"/>
    <col min="10769" max="10772" width="8.77734375" style="3"/>
    <col min="10773" max="10773" width="7.44140625" style="3" bestFit="1" customWidth="1"/>
    <col min="10774" max="10778" width="9.109375" style="3" bestFit="1" customWidth="1"/>
    <col min="10779" max="11011" width="8.77734375" style="3"/>
    <col min="11012" max="11012" width="4.33203125" style="3" customWidth="1"/>
    <col min="11013" max="11013" width="4" style="3" customWidth="1"/>
    <col min="11014" max="11014" width="4.109375" style="3" customWidth="1"/>
    <col min="11015" max="11015" width="8" style="3" customWidth="1"/>
    <col min="11016" max="11017" width="8.109375" style="3" customWidth="1"/>
    <col min="11018" max="11018" width="9.109375" style="3" customWidth="1"/>
    <col min="11019" max="11019" width="8.77734375" style="3"/>
    <col min="11020" max="11020" width="6.44140625" style="3" customWidth="1"/>
    <col min="11021" max="11021" width="26.109375" style="3" customWidth="1"/>
    <col min="11022" max="11022" width="7.109375" style="3" customWidth="1"/>
    <col min="11023" max="11023" width="11.109375" style="3" customWidth="1"/>
    <col min="11024" max="11024" width="5.109375" style="3" bestFit="1" customWidth="1"/>
    <col min="11025" max="11028" width="8.77734375" style="3"/>
    <col min="11029" max="11029" width="7.44140625" style="3" bestFit="1" customWidth="1"/>
    <col min="11030" max="11034" width="9.109375" style="3" bestFit="1" customWidth="1"/>
    <col min="11035" max="11267" width="8.77734375" style="3"/>
    <col min="11268" max="11268" width="4.33203125" style="3" customWidth="1"/>
    <col min="11269" max="11269" width="4" style="3" customWidth="1"/>
    <col min="11270" max="11270" width="4.109375" style="3" customWidth="1"/>
    <col min="11271" max="11271" width="8" style="3" customWidth="1"/>
    <col min="11272" max="11273" width="8.109375" style="3" customWidth="1"/>
    <col min="11274" max="11274" width="9.109375" style="3" customWidth="1"/>
    <col min="11275" max="11275" width="8.77734375" style="3"/>
    <col min="11276" max="11276" width="6.44140625" style="3" customWidth="1"/>
    <col min="11277" max="11277" width="26.109375" style="3" customWidth="1"/>
    <col min="11278" max="11278" width="7.109375" style="3" customWidth="1"/>
    <col min="11279" max="11279" width="11.109375" style="3" customWidth="1"/>
    <col min="11280" max="11280" width="5.109375" style="3" bestFit="1" customWidth="1"/>
    <col min="11281" max="11284" width="8.77734375" style="3"/>
    <col min="11285" max="11285" width="7.44140625" style="3" bestFit="1" customWidth="1"/>
    <col min="11286" max="11290" width="9.109375" style="3" bestFit="1" customWidth="1"/>
    <col min="11291" max="11523" width="8.77734375" style="3"/>
    <col min="11524" max="11524" width="4.33203125" style="3" customWidth="1"/>
    <col min="11525" max="11525" width="4" style="3" customWidth="1"/>
    <col min="11526" max="11526" width="4.109375" style="3" customWidth="1"/>
    <col min="11527" max="11527" width="8" style="3" customWidth="1"/>
    <col min="11528" max="11529" width="8.109375" style="3" customWidth="1"/>
    <col min="11530" max="11530" width="9.109375" style="3" customWidth="1"/>
    <col min="11531" max="11531" width="8.77734375" style="3"/>
    <col min="11532" max="11532" width="6.44140625" style="3" customWidth="1"/>
    <col min="11533" max="11533" width="26.109375" style="3" customWidth="1"/>
    <col min="11534" max="11534" width="7.109375" style="3" customWidth="1"/>
    <col min="11535" max="11535" width="11.109375" style="3" customWidth="1"/>
    <col min="11536" max="11536" width="5.109375" style="3" bestFit="1" customWidth="1"/>
    <col min="11537" max="11540" width="8.77734375" style="3"/>
    <col min="11541" max="11541" width="7.44140625" style="3" bestFit="1" customWidth="1"/>
    <col min="11542" max="11546" width="9.109375" style="3" bestFit="1" customWidth="1"/>
    <col min="11547" max="11779" width="8.77734375" style="3"/>
    <col min="11780" max="11780" width="4.33203125" style="3" customWidth="1"/>
    <col min="11781" max="11781" width="4" style="3" customWidth="1"/>
    <col min="11782" max="11782" width="4.109375" style="3" customWidth="1"/>
    <col min="11783" max="11783" width="8" style="3" customWidth="1"/>
    <col min="11784" max="11785" width="8.109375" style="3" customWidth="1"/>
    <col min="11786" max="11786" width="9.109375" style="3" customWidth="1"/>
    <col min="11787" max="11787" width="8.77734375" style="3"/>
    <col min="11788" max="11788" width="6.44140625" style="3" customWidth="1"/>
    <col min="11789" max="11789" width="26.109375" style="3" customWidth="1"/>
    <col min="11790" max="11790" width="7.109375" style="3" customWidth="1"/>
    <col min="11791" max="11791" width="11.109375" style="3" customWidth="1"/>
    <col min="11792" max="11792" width="5.109375" style="3" bestFit="1" customWidth="1"/>
    <col min="11793" max="11796" width="8.77734375" style="3"/>
    <col min="11797" max="11797" width="7.44140625" style="3" bestFit="1" customWidth="1"/>
    <col min="11798" max="11802" width="9.109375" style="3" bestFit="1" customWidth="1"/>
    <col min="11803" max="12035" width="8.77734375" style="3"/>
    <col min="12036" max="12036" width="4.33203125" style="3" customWidth="1"/>
    <col min="12037" max="12037" width="4" style="3" customWidth="1"/>
    <col min="12038" max="12038" width="4.109375" style="3" customWidth="1"/>
    <col min="12039" max="12039" width="8" style="3" customWidth="1"/>
    <col min="12040" max="12041" width="8.109375" style="3" customWidth="1"/>
    <col min="12042" max="12042" width="9.109375" style="3" customWidth="1"/>
    <col min="12043" max="12043" width="8.77734375" style="3"/>
    <col min="12044" max="12044" width="6.44140625" style="3" customWidth="1"/>
    <col min="12045" max="12045" width="26.109375" style="3" customWidth="1"/>
    <col min="12046" max="12046" width="7.109375" style="3" customWidth="1"/>
    <col min="12047" max="12047" width="11.109375" style="3" customWidth="1"/>
    <col min="12048" max="12048" width="5.109375" style="3" bestFit="1" customWidth="1"/>
    <col min="12049" max="12052" width="8.77734375" style="3"/>
    <col min="12053" max="12053" width="7.44140625" style="3" bestFit="1" customWidth="1"/>
    <col min="12054" max="12058" width="9.109375" style="3" bestFit="1" customWidth="1"/>
    <col min="12059" max="12291" width="8.77734375" style="3"/>
    <col min="12292" max="12292" width="4.33203125" style="3" customWidth="1"/>
    <col min="12293" max="12293" width="4" style="3" customWidth="1"/>
    <col min="12294" max="12294" width="4.109375" style="3" customWidth="1"/>
    <col min="12295" max="12295" width="8" style="3" customWidth="1"/>
    <col min="12296" max="12297" width="8.109375" style="3" customWidth="1"/>
    <col min="12298" max="12298" width="9.109375" style="3" customWidth="1"/>
    <col min="12299" max="12299" width="8.77734375" style="3"/>
    <col min="12300" max="12300" width="6.44140625" style="3" customWidth="1"/>
    <col min="12301" max="12301" width="26.109375" style="3" customWidth="1"/>
    <col min="12302" max="12302" width="7.109375" style="3" customWidth="1"/>
    <col min="12303" max="12303" width="11.109375" style="3" customWidth="1"/>
    <col min="12304" max="12304" width="5.109375" style="3" bestFit="1" customWidth="1"/>
    <col min="12305" max="12308" width="8.77734375" style="3"/>
    <col min="12309" max="12309" width="7.44140625" style="3" bestFit="1" customWidth="1"/>
    <col min="12310" max="12314" width="9.109375" style="3" bestFit="1" customWidth="1"/>
    <col min="12315" max="12547" width="8.77734375" style="3"/>
    <col min="12548" max="12548" width="4.33203125" style="3" customWidth="1"/>
    <col min="12549" max="12549" width="4" style="3" customWidth="1"/>
    <col min="12550" max="12550" width="4.109375" style="3" customWidth="1"/>
    <col min="12551" max="12551" width="8" style="3" customWidth="1"/>
    <col min="12552" max="12553" width="8.109375" style="3" customWidth="1"/>
    <col min="12554" max="12554" width="9.109375" style="3" customWidth="1"/>
    <col min="12555" max="12555" width="8.77734375" style="3"/>
    <col min="12556" max="12556" width="6.44140625" style="3" customWidth="1"/>
    <col min="12557" max="12557" width="26.109375" style="3" customWidth="1"/>
    <col min="12558" max="12558" width="7.109375" style="3" customWidth="1"/>
    <col min="12559" max="12559" width="11.109375" style="3" customWidth="1"/>
    <col min="12560" max="12560" width="5.109375" style="3" bestFit="1" customWidth="1"/>
    <col min="12561" max="12564" width="8.77734375" style="3"/>
    <col min="12565" max="12565" width="7.44140625" style="3" bestFit="1" customWidth="1"/>
    <col min="12566" max="12570" width="9.109375" style="3" bestFit="1" customWidth="1"/>
    <col min="12571" max="12803" width="8.77734375" style="3"/>
    <col min="12804" max="12804" width="4.33203125" style="3" customWidth="1"/>
    <col min="12805" max="12805" width="4" style="3" customWidth="1"/>
    <col min="12806" max="12806" width="4.109375" style="3" customWidth="1"/>
    <col min="12807" max="12807" width="8" style="3" customWidth="1"/>
    <col min="12808" max="12809" width="8.109375" style="3" customWidth="1"/>
    <col min="12810" max="12810" width="9.109375" style="3" customWidth="1"/>
    <col min="12811" max="12811" width="8.77734375" style="3"/>
    <col min="12812" max="12812" width="6.44140625" style="3" customWidth="1"/>
    <col min="12813" max="12813" width="26.109375" style="3" customWidth="1"/>
    <col min="12814" max="12814" width="7.109375" style="3" customWidth="1"/>
    <col min="12815" max="12815" width="11.109375" style="3" customWidth="1"/>
    <col min="12816" max="12816" width="5.109375" style="3" bestFit="1" customWidth="1"/>
    <col min="12817" max="12820" width="8.77734375" style="3"/>
    <col min="12821" max="12821" width="7.44140625" style="3" bestFit="1" customWidth="1"/>
    <col min="12822" max="12826" width="9.109375" style="3" bestFit="1" customWidth="1"/>
    <col min="12827" max="13059" width="8.77734375" style="3"/>
    <col min="13060" max="13060" width="4.33203125" style="3" customWidth="1"/>
    <col min="13061" max="13061" width="4" style="3" customWidth="1"/>
    <col min="13062" max="13062" width="4.109375" style="3" customWidth="1"/>
    <col min="13063" max="13063" width="8" style="3" customWidth="1"/>
    <col min="13064" max="13065" width="8.109375" style="3" customWidth="1"/>
    <col min="13066" max="13066" width="9.109375" style="3" customWidth="1"/>
    <col min="13067" max="13067" width="8.77734375" style="3"/>
    <col min="13068" max="13068" width="6.44140625" style="3" customWidth="1"/>
    <col min="13069" max="13069" width="26.109375" style="3" customWidth="1"/>
    <col min="13070" max="13070" width="7.109375" style="3" customWidth="1"/>
    <col min="13071" max="13071" width="11.109375" style="3" customWidth="1"/>
    <col min="13072" max="13072" width="5.109375" style="3" bestFit="1" customWidth="1"/>
    <col min="13073" max="13076" width="8.77734375" style="3"/>
    <col min="13077" max="13077" width="7.44140625" style="3" bestFit="1" customWidth="1"/>
    <col min="13078" max="13082" width="9.109375" style="3" bestFit="1" customWidth="1"/>
    <col min="13083" max="13315" width="8.77734375" style="3"/>
    <col min="13316" max="13316" width="4.33203125" style="3" customWidth="1"/>
    <col min="13317" max="13317" width="4" style="3" customWidth="1"/>
    <col min="13318" max="13318" width="4.109375" style="3" customWidth="1"/>
    <col min="13319" max="13319" width="8" style="3" customWidth="1"/>
    <col min="13320" max="13321" width="8.109375" style="3" customWidth="1"/>
    <col min="13322" max="13322" width="9.109375" style="3" customWidth="1"/>
    <col min="13323" max="13323" width="8.77734375" style="3"/>
    <col min="13324" max="13324" width="6.44140625" style="3" customWidth="1"/>
    <col min="13325" max="13325" width="26.109375" style="3" customWidth="1"/>
    <col min="13326" max="13326" width="7.109375" style="3" customWidth="1"/>
    <col min="13327" max="13327" width="11.109375" style="3" customWidth="1"/>
    <col min="13328" max="13328" width="5.109375" style="3" bestFit="1" customWidth="1"/>
    <col min="13329" max="13332" width="8.77734375" style="3"/>
    <col min="13333" max="13333" width="7.44140625" style="3" bestFit="1" customWidth="1"/>
    <col min="13334" max="13338" width="9.109375" style="3" bestFit="1" customWidth="1"/>
    <col min="13339" max="13571" width="8.77734375" style="3"/>
    <col min="13572" max="13572" width="4.33203125" style="3" customWidth="1"/>
    <col min="13573" max="13573" width="4" style="3" customWidth="1"/>
    <col min="13574" max="13574" width="4.109375" style="3" customWidth="1"/>
    <col min="13575" max="13575" width="8" style="3" customWidth="1"/>
    <col min="13576" max="13577" width="8.109375" style="3" customWidth="1"/>
    <col min="13578" max="13578" width="9.109375" style="3" customWidth="1"/>
    <col min="13579" max="13579" width="8.77734375" style="3"/>
    <col min="13580" max="13580" width="6.44140625" style="3" customWidth="1"/>
    <col min="13581" max="13581" width="26.109375" style="3" customWidth="1"/>
    <col min="13582" max="13582" width="7.109375" style="3" customWidth="1"/>
    <col min="13583" max="13583" width="11.109375" style="3" customWidth="1"/>
    <col min="13584" max="13584" width="5.109375" style="3" bestFit="1" customWidth="1"/>
    <col min="13585" max="13588" width="8.77734375" style="3"/>
    <col min="13589" max="13589" width="7.44140625" style="3" bestFit="1" customWidth="1"/>
    <col min="13590" max="13594" width="9.109375" style="3" bestFit="1" customWidth="1"/>
    <col min="13595" max="13827" width="8.77734375" style="3"/>
    <col min="13828" max="13828" width="4.33203125" style="3" customWidth="1"/>
    <col min="13829" max="13829" width="4" style="3" customWidth="1"/>
    <col min="13830" max="13830" width="4.109375" style="3" customWidth="1"/>
    <col min="13831" max="13831" width="8" style="3" customWidth="1"/>
    <col min="13832" max="13833" width="8.109375" style="3" customWidth="1"/>
    <col min="13834" max="13834" width="9.109375" style="3" customWidth="1"/>
    <col min="13835" max="13835" width="8.77734375" style="3"/>
    <col min="13836" max="13836" width="6.44140625" style="3" customWidth="1"/>
    <col min="13837" max="13837" width="26.109375" style="3" customWidth="1"/>
    <col min="13838" max="13838" width="7.109375" style="3" customWidth="1"/>
    <col min="13839" max="13839" width="11.109375" style="3" customWidth="1"/>
    <col min="13840" max="13840" width="5.109375" style="3" bestFit="1" customWidth="1"/>
    <col min="13841" max="13844" width="8.77734375" style="3"/>
    <col min="13845" max="13845" width="7.44140625" style="3" bestFit="1" customWidth="1"/>
    <col min="13846" max="13850" width="9.109375" style="3" bestFit="1" customWidth="1"/>
    <col min="13851" max="14083" width="8.77734375" style="3"/>
    <col min="14084" max="14084" width="4.33203125" style="3" customWidth="1"/>
    <col min="14085" max="14085" width="4" style="3" customWidth="1"/>
    <col min="14086" max="14086" width="4.109375" style="3" customWidth="1"/>
    <col min="14087" max="14087" width="8" style="3" customWidth="1"/>
    <col min="14088" max="14089" width="8.109375" style="3" customWidth="1"/>
    <col min="14090" max="14090" width="9.109375" style="3" customWidth="1"/>
    <col min="14091" max="14091" width="8.77734375" style="3"/>
    <col min="14092" max="14092" width="6.44140625" style="3" customWidth="1"/>
    <col min="14093" max="14093" width="26.109375" style="3" customWidth="1"/>
    <col min="14094" max="14094" width="7.109375" style="3" customWidth="1"/>
    <col min="14095" max="14095" width="11.109375" style="3" customWidth="1"/>
    <col min="14096" max="14096" width="5.109375" style="3" bestFit="1" customWidth="1"/>
    <col min="14097" max="14100" width="8.77734375" style="3"/>
    <col min="14101" max="14101" width="7.44140625" style="3" bestFit="1" customWidth="1"/>
    <col min="14102" max="14106" width="9.109375" style="3" bestFit="1" customWidth="1"/>
    <col min="14107" max="14339" width="8.77734375" style="3"/>
    <col min="14340" max="14340" width="4.33203125" style="3" customWidth="1"/>
    <col min="14341" max="14341" width="4" style="3" customWidth="1"/>
    <col min="14342" max="14342" width="4.109375" style="3" customWidth="1"/>
    <col min="14343" max="14343" width="8" style="3" customWidth="1"/>
    <col min="14344" max="14345" width="8.109375" style="3" customWidth="1"/>
    <col min="14346" max="14346" width="9.109375" style="3" customWidth="1"/>
    <col min="14347" max="14347" width="8.77734375" style="3"/>
    <col min="14348" max="14348" width="6.44140625" style="3" customWidth="1"/>
    <col min="14349" max="14349" width="26.109375" style="3" customWidth="1"/>
    <col min="14350" max="14350" width="7.109375" style="3" customWidth="1"/>
    <col min="14351" max="14351" width="11.109375" style="3" customWidth="1"/>
    <col min="14352" max="14352" width="5.109375" style="3" bestFit="1" customWidth="1"/>
    <col min="14353" max="14356" width="8.77734375" style="3"/>
    <col min="14357" max="14357" width="7.44140625" style="3" bestFit="1" customWidth="1"/>
    <col min="14358" max="14362" width="9.109375" style="3" bestFit="1" customWidth="1"/>
    <col min="14363" max="14595" width="8.77734375" style="3"/>
    <col min="14596" max="14596" width="4.33203125" style="3" customWidth="1"/>
    <col min="14597" max="14597" width="4" style="3" customWidth="1"/>
    <col min="14598" max="14598" width="4.109375" style="3" customWidth="1"/>
    <col min="14599" max="14599" width="8" style="3" customWidth="1"/>
    <col min="14600" max="14601" width="8.109375" style="3" customWidth="1"/>
    <col min="14602" max="14602" width="9.109375" style="3" customWidth="1"/>
    <col min="14603" max="14603" width="8.77734375" style="3"/>
    <col min="14604" max="14604" width="6.44140625" style="3" customWidth="1"/>
    <col min="14605" max="14605" width="26.109375" style="3" customWidth="1"/>
    <col min="14606" max="14606" width="7.109375" style="3" customWidth="1"/>
    <col min="14607" max="14607" width="11.109375" style="3" customWidth="1"/>
    <col min="14608" max="14608" width="5.109375" style="3" bestFit="1" customWidth="1"/>
    <col min="14609" max="14612" width="8.77734375" style="3"/>
    <col min="14613" max="14613" width="7.44140625" style="3" bestFit="1" customWidth="1"/>
    <col min="14614" max="14618" width="9.109375" style="3" bestFit="1" customWidth="1"/>
    <col min="14619" max="14851" width="8.77734375" style="3"/>
    <col min="14852" max="14852" width="4.33203125" style="3" customWidth="1"/>
    <col min="14853" max="14853" width="4" style="3" customWidth="1"/>
    <col min="14854" max="14854" width="4.109375" style="3" customWidth="1"/>
    <col min="14855" max="14855" width="8" style="3" customWidth="1"/>
    <col min="14856" max="14857" width="8.109375" style="3" customWidth="1"/>
    <col min="14858" max="14858" width="9.109375" style="3" customWidth="1"/>
    <col min="14859" max="14859" width="8.77734375" style="3"/>
    <col min="14860" max="14860" width="6.44140625" style="3" customWidth="1"/>
    <col min="14861" max="14861" width="26.109375" style="3" customWidth="1"/>
    <col min="14862" max="14862" width="7.109375" style="3" customWidth="1"/>
    <col min="14863" max="14863" width="11.109375" style="3" customWidth="1"/>
    <col min="14864" max="14864" width="5.109375" style="3" bestFit="1" customWidth="1"/>
    <col min="14865" max="14868" width="8.77734375" style="3"/>
    <col min="14869" max="14869" width="7.44140625" style="3" bestFit="1" customWidth="1"/>
    <col min="14870" max="14874" width="9.109375" style="3" bestFit="1" customWidth="1"/>
    <col min="14875" max="15107" width="8.77734375" style="3"/>
    <col min="15108" max="15108" width="4.33203125" style="3" customWidth="1"/>
    <col min="15109" max="15109" width="4" style="3" customWidth="1"/>
    <col min="15110" max="15110" width="4.109375" style="3" customWidth="1"/>
    <col min="15111" max="15111" width="8" style="3" customWidth="1"/>
    <col min="15112" max="15113" width="8.109375" style="3" customWidth="1"/>
    <col min="15114" max="15114" width="9.109375" style="3" customWidth="1"/>
    <col min="15115" max="15115" width="8.77734375" style="3"/>
    <col min="15116" max="15116" width="6.44140625" style="3" customWidth="1"/>
    <col min="15117" max="15117" width="26.109375" style="3" customWidth="1"/>
    <col min="15118" max="15118" width="7.109375" style="3" customWidth="1"/>
    <col min="15119" max="15119" width="11.109375" style="3" customWidth="1"/>
    <col min="15120" max="15120" width="5.109375" style="3" bestFit="1" customWidth="1"/>
    <col min="15121" max="15124" width="8.77734375" style="3"/>
    <col min="15125" max="15125" width="7.44140625" style="3" bestFit="1" customWidth="1"/>
    <col min="15126" max="15130" width="9.109375" style="3" bestFit="1" customWidth="1"/>
    <col min="15131" max="15363" width="8.77734375" style="3"/>
    <col min="15364" max="15364" width="4.33203125" style="3" customWidth="1"/>
    <col min="15365" max="15365" width="4" style="3" customWidth="1"/>
    <col min="15366" max="15366" width="4.109375" style="3" customWidth="1"/>
    <col min="15367" max="15367" width="8" style="3" customWidth="1"/>
    <col min="15368" max="15369" width="8.109375" style="3" customWidth="1"/>
    <col min="15370" max="15370" width="9.109375" style="3" customWidth="1"/>
    <col min="15371" max="15371" width="8.77734375" style="3"/>
    <col min="15372" max="15372" width="6.44140625" style="3" customWidth="1"/>
    <col min="15373" max="15373" width="26.109375" style="3" customWidth="1"/>
    <col min="15374" max="15374" width="7.109375" style="3" customWidth="1"/>
    <col min="15375" max="15375" width="11.109375" style="3" customWidth="1"/>
    <col min="15376" max="15376" width="5.109375" style="3" bestFit="1" customWidth="1"/>
    <col min="15377" max="15380" width="8.77734375" style="3"/>
    <col min="15381" max="15381" width="7.44140625" style="3" bestFit="1" customWidth="1"/>
    <col min="15382" max="15386" width="9.109375" style="3" bestFit="1" customWidth="1"/>
    <col min="15387" max="15619" width="8.77734375" style="3"/>
    <col min="15620" max="15620" width="4.33203125" style="3" customWidth="1"/>
    <col min="15621" max="15621" width="4" style="3" customWidth="1"/>
    <col min="15622" max="15622" width="4.109375" style="3" customWidth="1"/>
    <col min="15623" max="15623" width="8" style="3" customWidth="1"/>
    <col min="15624" max="15625" width="8.109375" style="3" customWidth="1"/>
    <col min="15626" max="15626" width="9.109375" style="3" customWidth="1"/>
    <col min="15627" max="15627" width="8.77734375" style="3"/>
    <col min="15628" max="15628" width="6.44140625" style="3" customWidth="1"/>
    <col min="15629" max="15629" width="26.109375" style="3" customWidth="1"/>
    <col min="15630" max="15630" width="7.109375" style="3" customWidth="1"/>
    <col min="15631" max="15631" width="11.109375" style="3" customWidth="1"/>
    <col min="15632" max="15632" width="5.109375" style="3" bestFit="1" customWidth="1"/>
    <col min="15633" max="15636" width="8.77734375" style="3"/>
    <col min="15637" max="15637" width="7.44140625" style="3" bestFit="1" customWidth="1"/>
    <col min="15638" max="15642" width="9.109375" style="3" bestFit="1" customWidth="1"/>
    <col min="15643" max="15875" width="8.77734375" style="3"/>
    <col min="15876" max="15876" width="4.33203125" style="3" customWidth="1"/>
    <col min="15877" max="15877" width="4" style="3" customWidth="1"/>
    <col min="15878" max="15878" width="4.109375" style="3" customWidth="1"/>
    <col min="15879" max="15879" width="8" style="3" customWidth="1"/>
    <col min="15880" max="15881" width="8.109375" style="3" customWidth="1"/>
    <col min="15882" max="15882" width="9.109375" style="3" customWidth="1"/>
    <col min="15883" max="15883" width="8.77734375" style="3"/>
    <col min="15884" max="15884" width="6.44140625" style="3" customWidth="1"/>
    <col min="15885" max="15885" width="26.109375" style="3" customWidth="1"/>
    <col min="15886" max="15886" width="7.109375" style="3" customWidth="1"/>
    <col min="15887" max="15887" width="11.109375" style="3" customWidth="1"/>
    <col min="15888" max="15888" width="5.109375" style="3" bestFit="1" customWidth="1"/>
    <col min="15889" max="15892" width="8.77734375" style="3"/>
    <col min="15893" max="15893" width="7.44140625" style="3" bestFit="1" customWidth="1"/>
    <col min="15894" max="15898" width="9.109375" style="3" bestFit="1" customWidth="1"/>
    <col min="15899" max="16131" width="8.77734375" style="3"/>
    <col min="16132" max="16132" width="4.33203125" style="3" customWidth="1"/>
    <col min="16133" max="16133" width="4" style="3" customWidth="1"/>
    <col min="16134" max="16134" width="4.109375" style="3" customWidth="1"/>
    <col min="16135" max="16135" width="8" style="3" customWidth="1"/>
    <col min="16136" max="16137" width="8.109375" style="3" customWidth="1"/>
    <col min="16138" max="16138" width="9.109375" style="3" customWidth="1"/>
    <col min="16139" max="16139" width="8.77734375" style="3"/>
    <col min="16140" max="16140" width="6.44140625" style="3" customWidth="1"/>
    <col min="16141" max="16141" width="26.109375" style="3" customWidth="1"/>
    <col min="16142" max="16142" width="7.109375" style="3" customWidth="1"/>
    <col min="16143" max="16143" width="11.109375" style="3" customWidth="1"/>
    <col min="16144" max="16144" width="5.109375" style="3" bestFit="1" customWidth="1"/>
    <col min="16145" max="16148" width="8.77734375" style="3"/>
    <col min="16149" max="16149" width="7.44140625" style="3" bestFit="1" customWidth="1"/>
    <col min="16150" max="16154" width="9.109375" style="3" bestFit="1" customWidth="1"/>
    <col min="16155" max="16384" width="8.77734375" style="3"/>
  </cols>
  <sheetData>
    <row r="1" spans="1:28" s="74" customFormat="1" ht="25.05" customHeight="1" x14ac:dyDescent="0.2">
      <c r="A1" s="144" t="s">
        <v>67</v>
      </c>
      <c r="B1" s="145"/>
      <c r="C1" s="145"/>
      <c r="D1" s="145" t="s">
        <v>68</v>
      </c>
      <c r="E1" s="146"/>
      <c r="F1" s="146"/>
      <c r="G1" s="146"/>
      <c r="H1" s="146"/>
      <c r="I1" s="146"/>
      <c r="J1" s="146"/>
      <c r="O1" s="76"/>
    </row>
    <row r="2" spans="1:28" s="74" customFormat="1" ht="25.05" customHeight="1" x14ac:dyDescent="0.2">
      <c r="A2" s="144" t="s">
        <v>88</v>
      </c>
      <c r="B2" s="147"/>
      <c r="C2" s="147"/>
      <c r="D2" s="147" t="s">
        <v>89</v>
      </c>
      <c r="E2" s="147"/>
      <c r="F2" s="147"/>
      <c r="G2" s="147"/>
      <c r="H2" s="147"/>
      <c r="I2" s="147"/>
      <c r="J2" s="147" t="s">
        <v>105</v>
      </c>
    </row>
    <row r="3" spans="1:28" s="74" customFormat="1" ht="25.05" customHeight="1" x14ac:dyDescent="0.2">
      <c r="B3" s="75"/>
      <c r="C3" s="75"/>
      <c r="D3" s="75"/>
      <c r="E3" s="75"/>
      <c r="F3" s="75"/>
      <c r="G3" s="75"/>
      <c r="H3" s="75"/>
      <c r="I3" s="75"/>
      <c r="J3" s="75"/>
      <c r="K3" s="76"/>
    </row>
    <row r="4" spans="1:28" s="74" customFormat="1" ht="25.05" customHeight="1" x14ac:dyDescent="0.2">
      <c r="A4" s="199">
        <v>45200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80"/>
      <c r="V4" s="80"/>
      <c r="W4" s="80"/>
      <c r="X4" s="80"/>
      <c r="Y4" s="80"/>
      <c r="Z4" s="80"/>
      <c r="AA4" s="80"/>
      <c r="AB4" s="80"/>
    </row>
    <row r="5" spans="1:28" s="74" customFormat="1" ht="25.05" customHeight="1" x14ac:dyDescent="0.2">
      <c r="I5" s="77"/>
      <c r="J5" s="77"/>
      <c r="L5" s="202"/>
      <c r="M5" s="202"/>
    </row>
    <row r="6" spans="1:28" s="74" customFormat="1" ht="25.05" customHeight="1" x14ac:dyDescent="0.2">
      <c r="I6" s="77"/>
      <c r="J6" s="77"/>
      <c r="R6" s="74" t="s">
        <v>69</v>
      </c>
    </row>
    <row r="7" spans="1:28" s="74" customFormat="1" ht="25.05" customHeight="1" x14ac:dyDescent="0.2">
      <c r="A7" s="144" t="s">
        <v>70</v>
      </c>
      <c r="B7" s="147"/>
      <c r="C7" s="147"/>
      <c r="D7" s="147" t="s">
        <v>71</v>
      </c>
      <c r="E7" s="147" t="s">
        <v>72</v>
      </c>
      <c r="F7" s="147"/>
      <c r="G7" s="147"/>
      <c r="H7" s="147"/>
      <c r="I7" s="147"/>
      <c r="J7" s="147"/>
      <c r="K7" s="147"/>
      <c r="L7" s="148"/>
      <c r="M7" s="149"/>
      <c r="R7" s="74" t="s">
        <v>98</v>
      </c>
    </row>
    <row r="8" spans="1:28" s="74" customFormat="1" ht="25.05" customHeight="1" x14ac:dyDescent="0.2">
      <c r="A8" s="150" t="s">
        <v>73</v>
      </c>
      <c r="B8" s="151"/>
      <c r="C8" s="151"/>
      <c r="D8" s="151" t="s">
        <v>74</v>
      </c>
      <c r="E8" s="151" t="s">
        <v>102</v>
      </c>
      <c r="F8" s="151"/>
      <c r="G8" s="151"/>
      <c r="H8" s="151"/>
      <c r="I8" s="151"/>
      <c r="J8" s="151"/>
      <c r="K8" s="151"/>
      <c r="L8" s="151"/>
      <c r="M8" s="152"/>
      <c r="P8" s="78"/>
      <c r="U8" s="79"/>
      <c r="V8" s="79"/>
      <c r="Y8" s="79"/>
      <c r="Z8" s="79"/>
      <c r="AA8" s="79"/>
      <c r="AB8" s="79"/>
    </row>
    <row r="9" spans="1:28" s="74" customFormat="1" ht="25.05" customHeight="1" x14ac:dyDescent="0.2">
      <c r="A9" s="144" t="s">
        <v>75</v>
      </c>
      <c r="B9" s="145"/>
      <c r="C9" s="145"/>
      <c r="D9" s="145" t="s">
        <v>74</v>
      </c>
      <c r="E9" s="145" t="s">
        <v>76</v>
      </c>
      <c r="F9" s="145"/>
      <c r="G9" s="145"/>
      <c r="H9" s="145"/>
      <c r="I9" s="145"/>
      <c r="J9" s="145"/>
      <c r="K9" s="145"/>
      <c r="L9" s="145"/>
      <c r="M9" s="152"/>
    </row>
    <row r="10" spans="1:28" s="74" customFormat="1" ht="25.05" customHeight="1" x14ac:dyDescent="0.2">
      <c r="A10" s="144" t="s">
        <v>77</v>
      </c>
      <c r="B10" s="145"/>
      <c r="C10" s="145"/>
      <c r="D10" s="147" t="s">
        <v>74</v>
      </c>
      <c r="E10" s="153" t="s">
        <v>78</v>
      </c>
      <c r="F10" s="153" t="s">
        <v>79</v>
      </c>
      <c r="G10" s="154" t="s">
        <v>80</v>
      </c>
      <c r="H10" s="154" t="s">
        <v>81</v>
      </c>
      <c r="I10" s="154" t="s">
        <v>82</v>
      </c>
      <c r="J10" s="154" t="s">
        <v>83</v>
      </c>
      <c r="K10" s="154"/>
      <c r="L10" s="154"/>
      <c r="M10" s="152"/>
    </row>
    <row r="11" spans="1:28" ht="19.5" customHeight="1" x14ac:dyDescent="0.2">
      <c r="G11" s="85"/>
      <c r="H11" s="85"/>
      <c r="I11" s="85"/>
      <c r="J11" s="85"/>
      <c r="K11" s="85"/>
      <c r="L11" s="85"/>
      <c r="M11" s="85"/>
      <c r="N11" s="38"/>
      <c r="O11" s="38"/>
      <c r="P11" s="38"/>
      <c r="Q11" s="74"/>
      <c r="R11" s="74"/>
      <c r="S11" s="74"/>
      <c r="T11" s="74"/>
      <c r="W11" s="23" t="s">
        <v>34</v>
      </c>
      <c r="X11" s="3" t="e">
        <f>#REF!*7.5</f>
        <v>#REF!</v>
      </c>
      <c r="Y11" s="23" t="s">
        <v>35</v>
      </c>
      <c r="Z11" s="3" t="e">
        <f>X11-20</f>
        <v>#REF!</v>
      </c>
      <c r="AA11" s="23" t="s">
        <v>36</v>
      </c>
      <c r="AB11" s="3" t="e">
        <f>X11+20</f>
        <v>#REF!</v>
      </c>
    </row>
    <row r="12" spans="1:28" ht="19.95" customHeight="1" x14ac:dyDescent="0.2">
      <c r="E12" s="86"/>
      <c r="F12" s="86"/>
      <c r="G12" s="86"/>
      <c r="H12" s="86"/>
      <c r="I12" s="87"/>
      <c r="J12" s="87"/>
      <c r="K12" s="87"/>
      <c r="L12" s="87"/>
      <c r="M12" s="87"/>
      <c r="N12" s="42"/>
      <c r="O12" s="42"/>
      <c r="P12" s="42"/>
      <c r="Q12" s="74"/>
      <c r="R12" s="74"/>
      <c r="S12" s="74"/>
      <c r="T12" s="74"/>
      <c r="W12" s="23" t="s">
        <v>57</v>
      </c>
      <c r="X12" s="3">
        <f>COUNTA(E17:E47)</f>
        <v>22</v>
      </c>
    </row>
    <row r="13" spans="1:28" ht="19.95" customHeight="1" x14ac:dyDescent="0.2">
      <c r="B13" s="128" t="s">
        <v>87</v>
      </c>
      <c r="C13" s="128"/>
      <c r="D13" s="128"/>
      <c r="E13" s="128"/>
      <c r="F13" s="128"/>
      <c r="G13" s="128"/>
      <c r="H13" s="128"/>
      <c r="M13" s="39"/>
      <c r="N13" s="8"/>
      <c r="O13" s="8"/>
      <c r="P13" s="8"/>
      <c r="Q13" s="74"/>
      <c r="R13" s="74"/>
      <c r="S13" s="74"/>
      <c r="T13" s="74"/>
      <c r="W13" s="23" t="s">
        <v>59</v>
      </c>
      <c r="X13" s="70">
        <v>0.91666666666666663</v>
      </c>
      <c r="Y13" s="23" t="s">
        <v>60</v>
      </c>
      <c r="Z13" s="73">
        <v>1.2083333333333333</v>
      </c>
      <c r="AA13" s="23" t="s">
        <v>61</v>
      </c>
    </row>
    <row r="14" spans="1:28" ht="19.95" customHeight="1" x14ac:dyDescent="0.2">
      <c r="B14" s="129" t="s">
        <v>63</v>
      </c>
      <c r="C14" s="128"/>
      <c r="D14" s="198" t="s">
        <v>85</v>
      </c>
      <c r="E14" s="198"/>
      <c r="F14" s="198"/>
      <c r="G14" s="198"/>
      <c r="H14" s="130"/>
      <c r="M14" s="39"/>
      <c r="N14" s="8"/>
      <c r="O14" s="8"/>
      <c r="P14" s="8"/>
      <c r="Q14" s="74"/>
      <c r="R14" s="74"/>
      <c r="S14" s="74"/>
      <c r="T14" s="74"/>
    </row>
    <row r="15" spans="1:28" ht="3.45" customHeight="1" x14ac:dyDescent="0.2">
      <c r="E15" s="6"/>
      <c r="F15" s="7"/>
      <c r="N15" s="8"/>
      <c r="O15" s="8"/>
      <c r="P15" s="8"/>
      <c r="Q15" s="8"/>
      <c r="R15" s="8"/>
      <c r="S15" s="8"/>
      <c r="T15" s="9"/>
    </row>
    <row r="16" spans="1:28" ht="28.5" customHeight="1" x14ac:dyDescent="0.2">
      <c r="A16" s="155" t="s">
        <v>0</v>
      </c>
      <c r="B16" s="156" t="s">
        <v>1</v>
      </c>
      <c r="C16" s="156" t="s">
        <v>2</v>
      </c>
      <c r="D16" s="157" t="s">
        <v>101</v>
      </c>
      <c r="E16" s="156" t="s">
        <v>4</v>
      </c>
      <c r="F16" s="158" t="s">
        <v>5</v>
      </c>
      <c r="G16" s="159" t="s">
        <v>62</v>
      </c>
      <c r="H16" s="160" t="s">
        <v>99</v>
      </c>
      <c r="I16" s="159" t="s">
        <v>93</v>
      </c>
      <c r="J16" s="157" t="s">
        <v>100</v>
      </c>
      <c r="K16" s="157" t="s">
        <v>65</v>
      </c>
      <c r="L16" s="160" t="s">
        <v>66</v>
      </c>
      <c r="M16" s="182" t="s">
        <v>20</v>
      </c>
      <c r="N16" s="183"/>
      <c r="O16" s="183"/>
      <c r="P16" s="183"/>
      <c r="Q16" s="183"/>
      <c r="R16" s="183"/>
      <c r="S16" s="183"/>
      <c r="T16" s="184"/>
      <c r="U16" s="16" t="s">
        <v>9</v>
      </c>
      <c r="W16" s="23" t="s">
        <v>58</v>
      </c>
    </row>
    <row r="17" spans="1:26" ht="19.95" customHeight="1" x14ac:dyDescent="0.2">
      <c r="A17" s="131">
        <f>B17</f>
        <v>45200</v>
      </c>
      <c r="B17" s="132">
        <f>DATEVALUE(TEXT(A4,"yyyy/mm/") &amp; "01")</f>
        <v>45200</v>
      </c>
      <c r="C17" s="133">
        <f t="shared" ref="C17:C47" si="0">B17</f>
        <v>45200</v>
      </c>
      <c r="D17" s="134" t="str">
        <f>IF(U17="稼働","稼働",IF(OR(WEEKDAY(B17)=1,WEEKDAY(B17)=7,C17="日",U17="祝日",U17="特休",U17="代休",U17="休み"),"休日",IF(C17="","","稼働")))</f>
        <v>休日</v>
      </c>
      <c r="E17" s="110"/>
      <c r="F17" s="111"/>
      <c r="G17" s="116" t="str">
        <f>IF(AND(E17&lt;&gt;"",F17&lt;&gt;""),IF((F17-E17-マスタ!$B$7)&gt;マスタ!$C$7,マスタ!$B$7,IF((F17-E17-マスタ!$B$6)&gt;マスタ!$C$6,マスタ!$B$6,マスタ!$B$5)),"")</f>
        <v/>
      </c>
      <c r="H17" s="117" t="str">
        <f>IF(G17="","",F17-E17-G17)</f>
        <v/>
      </c>
      <c r="I17" s="116" t="str">
        <f>IF(D17="休日","",IF(F17&gt;マスタ!$C$2,IF(E17&lt;マスタ!$C$2,マスタ!$C$2-E17-(マスタ!$C$4-マスタ!$C$3),""),IF(E17&lt;マスタ!$C$2,F17-E17-G17,"")))</f>
        <v/>
      </c>
      <c r="J17" s="123" t="str">
        <f>IF(D17="休日","",IF(K17="",H17-I17,IF(H17=K17,"",H17-I17-K17)))</f>
        <v/>
      </c>
      <c r="K17" s="123" t="str">
        <f t="shared" ref="K17:K47" si="1">IF(D17="休日","",IF(OR(E17="",F17=""),"",IF(F17&gt;$X$13,IF(F17&gt;$Z$13,$Z$13-$X$13,F17-$X$13),"")))</f>
        <v/>
      </c>
      <c r="L17" s="117" t="str">
        <f>IF(D17="休日",H17,"")</f>
        <v/>
      </c>
      <c r="M17" s="185"/>
      <c r="N17" s="186"/>
      <c r="O17" s="186"/>
      <c r="P17" s="186"/>
      <c r="Q17" s="186"/>
      <c r="R17" s="186"/>
      <c r="S17" s="186"/>
      <c r="T17" s="187"/>
      <c r="U17" s="48"/>
      <c r="W17" s="72"/>
      <c r="X17" s="72"/>
      <c r="Y17" s="72"/>
      <c r="Z17" s="72"/>
    </row>
    <row r="18" spans="1:26" ht="19.95" customHeight="1" x14ac:dyDescent="0.2">
      <c r="A18" s="135"/>
      <c r="B18" s="136">
        <f t="shared" ref="B18:B44" si="2">B17+1</f>
        <v>45201</v>
      </c>
      <c r="C18" s="137">
        <f t="shared" si="0"/>
        <v>45201</v>
      </c>
      <c r="D18" s="138" t="str">
        <f t="shared" ref="D18:D47" si="3">IF(U18="稼働","稼働",IF(OR(WEEKDAY(B18)=1,WEEKDAY(B18)=7,C18="日",U18="祝日",U18="特休",U18="代休",U18="休み"),"休日",IF(C18="","","稼働")))</f>
        <v>稼働</v>
      </c>
      <c r="E18" s="112">
        <v>0.375</v>
      </c>
      <c r="F18" s="113">
        <v>0.91666666666666663</v>
      </c>
      <c r="G18" s="118">
        <f>IF(AND(E18&lt;&gt;"",F18&lt;&gt;""),IF((F18-E18-マスタ!$B$7)&gt;マスタ!$C$7,マスタ!$B$7,IF((F18-E18-マスタ!$B$6)&gt;マスタ!$C$6,マスタ!$B$6,マスタ!$B$5)),"")</f>
        <v>4.1666666666666664E-2</v>
      </c>
      <c r="H18" s="119">
        <f t="shared" ref="H18:H47" si="4">IF(G18="","",F18-E18-G18)</f>
        <v>0.49999999999999994</v>
      </c>
      <c r="I18" s="120">
        <f>IF(D18="休日","",IF(F18&gt;マスタ!$C$2,IF(E18&lt;マスタ!$C$2,マスタ!$C$2-E18-(マスタ!$C$4-マスタ!$C$3),""),IF(E18&lt;マスタ!$C$2,F18-E18-G18,"")))</f>
        <v>0.33333333333333337</v>
      </c>
      <c r="J18" s="124">
        <f>IF(D18="休日","",IF(K18="",H18-I18,IF(H18=K18,"",H18-I18-K18)))</f>
        <v>0.16666666666666657</v>
      </c>
      <c r="K18" s="124" t="str">
        <f t="shared" si="1"/>
        <v/>
      </c>
      <c r="L18" s="119" t="str">
        <f t="shared" ref="L18:L47" si="5">IF(D18="休日",H18,"")</f>
        <v/>
      </c>
      <c r="M18" s="173" t="s">
        <v>110</v>
      </c>
      <c r="N18" s="174"/>
      <c r="O18" s="174"/>
      <c r="P18" s="174"/>
      <c r="Q18" s="174"/>
      <c r="R18" s="174"/>
      <c r="S18" s="174"/>
      <c r="T18" s="175"/>
      <c r="U18" s="48"/>
      <c r="W18" s="72"/>
      <c r="X18" s="72"/>
      <c r="Y18" s="72"/>
      <c r="Z18" s="72"/>
    </row>
    <row r="19" spans="1:26" ht="19.95" customHeight="1" x14ac:dyDescent="0.2">
      <c r="A19" s="135"/>
      <c r="B19" s="136">
        <f t="shared" si="2"/>
        <v>45202</v>
      </c>
      <c r="C19" s="137">
        <f t="shared" si="0"/>
        <v>45202</v>
      </c>
      <c r="D19" s="138" t="str">
        <f t="shared" si="3"/>
        <v>稼働</v>
      </c>
      <c r="E19" s="112">
        <v>0.375</v>
      </c>
      <c r="F19" s="113">
        <v>1.0416666666666667</v>
      </c>
      <c r="G19" s="120">
        <f>IF(AND(E19&lt;&gt;"",F19&lt;&gt;""),IF((F19-E19-マスタ!$B$7)&gt;マスタ!$C$7,マスタ!$B$7,IF((F19-E19-マスタ!$B$6)&gt;マスタ!$C$6,マスタ!$B$6,マスタ!$B$5)),"")</f>
        <v>4.1666666666666664E-2</v>
      </c>
      <c r="H19" s="119">
        <f t="shared" si="4"/>
        <v>0.62500000000000011</v>
      </c>
      <c r="I19" s="120">
        <f>IF(D19="休日","",IF(F19&gt;マスタ!$C$2,IF(E19&lt;マスタ!$C$2,マスタ!$C$2-E19-(マスタ!$C$4-マスタ!$C$3),""),IF(E19&lt;マスタ!$C$2,F19-E19-G19,"")))</f>
        <v>0.33333333333333337</v>
      </c>
      <c r="J19" s="124">
        <f t="shared" ref="J19:J47" si="6">IF(D19="休日","",IF(K19="",H19-I19,IF(H19=K19,"",H19-I19-K19)))</f>
        <v>0.16666666666666663</v>
      </c>
      <c r="K19" s="124">
        <f t="shared" si="1"/>
        <v>0.12500000000000011</v>
      </c>
      <c r="L19" s="119" t="str">
        <f t="shared" si="5"/>
        <v/>
      </c>
      <c r="M19" s="173" t="s">
        <v>111</v>
      </c>
      <c r="N19" s="174"/>
      <c r="O19" s="174"/>
      <c r="P19" s="174"/>
      <c r="Q19" s="174"/>
      <c r="R19" s="174"/>
      <c r="S19" s="174"/>
      <c r="T19" s="175"/>
      <c r="U19" s="48"/>
      <c r="W19" s="72"/>
      <c r="X19" s="72"/>
      <c r="Y19" s="72"/>
      <c r="Z19" s="72"/>
    </row>
    <row r="20" spans="1:26" ht="19.95" customHeight="1" x14ac:dyDescent="0.2">
      <c r="A20" s="135"/>
      <c r="B20" s="136">
        <f t="shared" si="2"/>
        <v>45203</v>
      </c>
      <c r="C20" s="137">
        <f t="shared" si="0"/>
        <v>45203</v>
      </c>
      <c r="D20" s="138" t="str">
        <f t="shared" si="3"/>
        <v>稼働</v>
      </c>
      <c r="E20" s="112">
        <v>0.375</v>
      </c>
      <c r="F20" s="113">
        <v>1.15625</v>
      </c>
      <c r="G20" s="120">
        <f>IF(AND(E20&lt;&gt;"",F20&lt;&gt;""),IF((F20-E20-マスタ!$B$7)&gt;マスタ!$C$7,マスタ!$B$7,IF((F20-E20-マスタ!$B$6)&gt;マスタ!$C$6,マスタ!$B$6,マスタ!$B$5)),"")</f>
        <v>4.1666666666666664E-2</v>
      </c>
      <c r="H20" s="119">
        <f t="shared" si="4"/>
        <v>0.73958333333333337</v>
      </c>
      <c r="I20" s="120">
        <f>IF(D20="休日","",IF(F20&gt;マスタ!$C$2,IF(E20&lt;マスタ!$C$2,マスタ!$C$2-E20-(マスタ!$C$4-マスタ!$C$3),""),IF(E20&lt;マスタ!$C$2,F20-E20-G20,"")))</f>
        <v>0.33333333333333337</v>
      </c>
      <c r="J20" s="124">
        <f t="shared" si="6"/>
        <v>0.16666666666666663</v>
      </c>
      <c r="K20" s="124">
        <f t="shared" si="1"/>
        <v>0.23958333333333337</v>
      </c>
      <c r="L20" s="119" t="str">
        <f t="shared" si="5"/>
        <v/>
      </c>
      <c r="M20" s="173" t="s">
        <v>112</v>
      </c>
      <c r="N20" s="174"/>
      <c r="O20" s="174"/>
      <c r="P20" s="174"/>
      <c r="Q20" s="174"/>
      <c r="R20" s="174"/>
      <c r="S20" s="174"/>
      <c r="T20" s="175"/>
      <c r="U20" s="48"/>
      <c r="W20" s="72"/>
      <c r="X20" s="72"/>
      <c r="Y20" s="72"/>
      <c r="Z20" s="72"/>
    </row>
    <row r="21" spans="1:26" ht="19.95" customHeight="1" x14ac:dyDescent="0.2">
      <c r="A21" s="135"/>
      <c r="B21" s="136">
        <f t="shared" si="2"/>
        <v>45204</v>
      </c>
      <c r="C21" s="137">
        <f t="shared" si="0"/>
        <v>45204</v>
      </c>
      <c r="D21" s="138" t="str">
        <f t="shared" si="3"/>
        <v>稼働</v>
      </c>
      <c r="E21" s="112">
        <v>0.375</v>
      </c>
      <c r="F21" s="113">
        <v>0.72916666666666663</v>
      </c>
      <c r="G21" s="120">
        <f>IF(AND(E21&lt;&gt;"",F21&lt;&gt;""),IF((F21-E21-マスタ!$B$7)&gt;マスタ!$C$7,マスタ!$B$7,IF((F21-E21-マスタ!$B$6)&gt;マスタ!$C$6,マスタ!$B$6,マスタ!$B$5)),"")</f>
        <v>3.125E-2</v>
      </c>
      <c r="H21" s="119">
        <f t="shared" si="4"/>
        <v>0.32291666666666663</v>
      </c>
      <c r="I21" s="120">
        <f>IF(D21="休日","",IF(F21&gt;マスタ!$C$2,IF(E21&lt;マスタ!$C$2,マスタ!$C$2-E21-(マスタ!$C$4-マスタ!$C$3),""),IF(E21&lt;マスタ!$C$2,F21-E21-G21,"")))</f>
        <v>0.32291666666666663</v>
      </c>
      <c r="J21" s="124">
        <f t="shared" si="6"/>
        <v>0</v>
      </c>
      <c r="K21" s="124" t="str">
        <f t="shared" si="1"/>
        <v/>
      </c>
      <c r="L21" s="119" t="str">
        <f t="shared" si="5"/>
        <v/>
      </c>
      <c r="M21" s="173"/>
      <c r="N21" s="174"/>
      <c r="O21" s="174"/>
      <c r="P21" s="174"/>
      <c r="Q21" s="174"/>
      <c r="R21" s="174"/>
      <c r="S21" s="174"/>
      <c r="T21" s="175"/>
      <c r="U21" s="48"/>
      <c r="W21" s="72"/>
      <c r="X21" s="72"/>
      <c r="Y21" s="72"/>
      <c r="Z21" s="72"/>
    </row>
    <row r="22" spans="1:26" ht="19.95" customHeight="1" x14ac:dyDescent="0.2">
      <c r="A22" s="135"/>
      <c r="B22" s="136">
        <f t="shared" si="2"/>
        <v>45205</v>
      </c>
      <c r="C22" s="137">
        <f t="shared" si="0"/>
        <v>45205</v>
      </c>
      <c r="D22" s="138" t="str">
        <f t="shared" si="3"/>
        <v>稼働</v>
      </c>
      <c r="E22" s="112">
        <v>0.54166666666666663</v>
      </c>
      <c r="F22" s="113">
        <v>0.72916666666666663</v>
      </c>
      <c r="G22" s="120">
        <f>IF(AND(E22&lt;&gt;"",F22&lt;&gt;""),IF((F22-E22-マスタ!$B$7)&gt;マスタ!$C$7,マスタ!$B$7,IF((F22-E22-マスタ!$B$6)&gt;マスタ!$C$6,マスタ!$B$6,マスタ!$B$5)),"")</f>
        <v>0</v>
      </c>
      <c r="H22" s="119">
        <f t="shared" si="4"/>
        <v>0.1875</v>
      </c>
      <c r="I22" s="120">
        <f>IF(D22="休日","",IF(F22&gt;マスタ!$C$2,IF(E22&lt;マスタ!$C$2,マスタ!$C$2-E22-(マスタ!$C$4-マスタ!$C$3),""),IF(E22&lt;マスタ!$C$2,F22-E22-G22,"")))</f>
        <v>0.1875</v>
      </c>
      <c r="J22" s="124">
        <f t="shared" si="6"/>
        <v>0</v>
      </c>
      <c r="K22" s="124" t="str">
        <f t="shared" si="1"/>
        <v/>
      </c>
      <c r="L22" s="119" t="str">
        <f t="shared" si="5"/>
        <v/>
      </c>
      <c r="M22" s="173" t="s">
        <v>113</v>
      </c>
      <c r="N22" s="174"/>
      <c r="O22" s="174"/>
      <c r="P22" s="174"/>
      <c r="Q22" s="174"/>
      <c r="R22" s="174"/>
      <c r="S22" s="174"/>
      <c r="T22" s="175"/>
      <c r="U22" s="48"/>
      <c r="W22" s="72"/>
      <c r="X22" s="72"/>
      <c r="Y22" s="72"/>
      <c r="Z22" s="72"/>
    </row>
    <row r="23" spans="1:26" ht="19.95" customHeight="1" x14ac:dyDescent="0.2">
      <c r="A23" s="135"/>
      <c r="B23" s="136">
        <f t="shared" si="2"/>
        <v>45206</v>
      </c>
      <c r="C23" s="137">
        <f t="shared" si="0"/>
        <v>45206</v>
      </c>
      <c r="D23" s="138" t="str">
        <f t="shared" si="3"/>
        <v>休日</v>
      </c>
      <c r="E23" s="112">
        <v>0.375</v>
      </c>
      <c r="F23" s="113">
        <v>0.72916666666666663</v>
      </c>
      <c r="G23" s="120">
        <f>IF(AND(E23&lt;&gt;"",F23&lt;&gt;""),IF((F23-E23-マスタ!$B$7)&gt;マスタ!$C$7,マスタ!$B$7,IF((F23-E23-マスタ!$B$6)&gt;マスタ!$C$6,マスタ!$B$6,マスタ!$B$5)),"")</f>
        <v>3.125E-2</v>
      </c>
      <c r="H23" s="119">
        <f t="shared" si="4"/>
        <v>0.32291666666666663</v>
      </c>
      <c r="I23" s="120" t="str">
        <f>IF(D23="休日","",IF(F23&gt;マスタ!$C$2,IF(E23&lt;マスタ!$C$2,マスタ!$C$2-E23-(マスタ!$C$4-マスタ!$C$3),""),IF(E23&lt;マスタ!$C$2,F23-E23-G23,"")))</f>
        <v/>
      </c>
      <c r="J23" s="124" t="str">
        <f t="shared" si="6"/>
        <v/>
      </c>
      <c r="K23" s="124" t="str">
        <f t="shared" si="1"/>
        <v/>
      </c>
      <c r="L23" s="119">
        <f t="shared" si="5"/>
        <v>0.32291666666666663</v>
      </c>
      <c r="M23" s="173" t="s">
        <v>109</v>
      </c>
      <c r="N23" s="174"/>
      <c r="O23" s="174"/>
      <c r="P23" s="174"/>
      <c r="Q23" s="174"/>
      <c r="R23" s="174"/>
      <c r="S23" s="174"/>
      <c r="T23" s="175"/>
      <c r="U23" s="48"/>
      <c r="W23" s="72"/>
      <c r="X23" s="72"/>
      <c r="Y23" s="72"/>
      <c r="Z23" s="72"/>
    </row>
    <row r="24" spans="1:26" ht="30.45" customHeight="1" x14ac:dyDescent="0.2">
      <c r="A24" s="139"/>
      <c r="B24" s="136">
        <f t="shared" si="2"/>
        <v>45207</v>
      </c>
      <c r="C24" s="137">
        <f t="shared" si="0"/>
        <v>45207</v>
      </c>
      <c r="D24" s="138" t="str">
        <f t="shared" si="3"/>
        <v>休日</v>
      </c>
      <c r="E24" s="112">
        <v>0.375</v>
      </c>
      <c r="F24" s="113">
        <v>0.95833333333333337</v>
      </c>
      <c r="G24" s="120">
        <f>IF(AND(E24&lt;&gt;"",F24&lt;&gt;""),IF((F24-E24-マスタ!$B$7)&gt;マスタ!$C$7,マスタ!$B$7,IF((F24-E24-マスタ!$B$6)&gt;マスタ!$C$6,マスタ!$B$6,マスタ!$B$5)),"")</f>
        <v>4.1666666666666664E-2</v>
      </c>
      <c r="H24" s="119">
        <f t="shared" si="4"/>
        <v>0.54166666666666674</v>
      </c>
      <c r="I24" s="120" t="str">
        <f>IF(D24="休日","",IF(F24&gt;マスタ!$C$2,IF(E24&lt;マスタ!$C$2,マスタ!$C$2-E24-(マスタ!$C$4-マスタ!$C$3),""),IF(E24&lt;マスタ!$C$2,F24-E24-G24,"")))</f>
        <v/>
      </c>
      <c r="J24" s="124" t="str">
        <f t="shared" si="6"/>
        <v/>
      </c>
      <c r="K24" s="124" t="str">
        <f t="shared" si="1"/>
        <v/>
      </c>
      <c r="L24" s="119">
        <f t="shared" si="5"/>
        <v>0.54166666666666674</v>
      </c>
      <c r="M24" s="173" t="s">
        <v>115</v>
      </c>
      <c r="N24" s="174"/>
      <c r="O24" s="174"/>
      <c r="P24" s="174"/>
      <c r="Q24" s="174"/>
      <c r="R24" s="174"/>
      <c r="S24" s="174"/>
      <c r="T24" s="175"/>
      <c r="U24" s="48"/>
      <c r="W24" s="72"/>
      <c r="X24" s="72"/>
      <c r="Y24" s="72"/>
      <c r="Z24" s="72"/>
    </row>
    <row r="25" spans="1:26" ht="19.95" customHeight="1" x14ac:dyDescent="0.2">
      <c r="A25" s="135" t="str">
        <f>IF(DAY(B25)=1,B25,"")</f>
        <v/>
      </c>
      <c r="B25" s="136">
        <f t="shared" si="2"/>
        <v>45208</v>
      </c>
      <c r="C25" s="137">
        <f t="shared" si="0"/>
        <v>45208</v>
      </c>
      <c r="D25" s="138" t="str">
        <f t="shared" si="3"/>
        <v>休日</v>
      </c>
      <c r="E25" s="112"/>
      <c r="F25" s="113"/>
      <c r="G25" s="120" t="str">
        <f>IF(AND(E25&lt;&gt;"",F25&lt;&gt;""),IF((F25-E25-マスタ!$B$7)&gt;マスタ!$C$7,マスタ!$B$7,IF((F25-E25-マスタ!$B$6)&gt;マスタ!$C$6,マスタ!$B$6,マスタ!$B$5)),"")</f>
        <v/>
      </c>
      <c r="H25" s="119" t="str">
        <f t="shared" si="4"/>
        <v/>
      </c>
      <c r="I25" s="120" t="str">
        <f>IF(D25="休日","",IF(F25&gt;マスタ!$C$2,IF(E25&lt;マスタ!$C$2,マスタ!$C$2-E25-(マスタ!$C$4-マスタ!$C$3),""),IF(E25&lt;マスタ!$C$2,F25-E25-G25,"")))</f>
        <v/>
      </c>
      <c r="J25" s="124" t="str">
        <f t="shared" si="6"/>
        <v/>
      </c>
      <c r="K25" s="124" t="str">
        <f t="shared" si="1"/>
        <v/>
      </c>
      <c r="L25" s="119" t="str">
        <f t="shared" si="5"/>
        <v/>
      </c>
      <c r="M25" s="173" t="s">
        <v>117</v>
      </c>
      <c r="N25" s="174"/>
      <c r="O25" s="174"/>
      <c r="P25" s="174"/>
      <c r="Q25" s="174"/>
      <c r="R25" s="174"/>
      <c r="S25" s="174"/>
      <c r="T25" s="175"/>
      <c r="U25" s="48" t="s">
        <v>56</v>
      </c>
      <c r="W25" s="72"/>
      <c r="X25" s="72"/>
      <c r="Y25" s="72"/>
      <c r="Z25" s="72"/>
    </row>
    <row r="26" spans="1:26" ht="19.95" customHeight="1" x14ac:dyDescent="0.2">
      <c r="A26" s="135" t="str">
        <f>IF(DAY(B26)=1,B26,"")</f>
        <v/>
      </c>
      <c r="B26" s="136">
        <f t="shared" si="2"/>
        <v>45209</v>
      </c>
      <c r="C26" s="137">
        <f t="shared" si="0"/>
        <v>45209</v>
      </c>
      <c r="D26" s="138" t="str">
        <f t="shared" si="3"/>
        <v>稼働</v>
      </c>
      <c r="E26" s="112">
        <v>0.375</v>
      </c>
      <c r="F26" s="113">
        <v>0.5</v>
      </c>
      <c r="G26" s="120">
        <f>IF(AND(E26&lt;&gt;"",F26&lt;&gt;""),IF((F26-E26-マスタ!$B$7)&gt;マスタ!$C$7,マスタ!$B$7,IF((F26-E26-マスタ!$B$6)&gt;マスタ!$C$6,マスタ!$B$6,マスタ!$B$5)),"")</f>
        <v>0</v>
      </c>
      <c r="H26" s="119">
        <f t="shared" si="4"/>
        <v>0.125</v>
      </c>
      <c r="I26" s="120">
        <f>IF(D26="休日","",IF(F26&gt;マスタ!$C$2,IF(E26&lt;マスタ!$C$2,マスタ!$C$2-E26-(マスタ!$C$4-マスタ!$C$3),""),IF(E26&lt;マスタ!$C$2,F26-E26-G26,"")))</f>
        <v>0.125</v>
      </c>
      <c r="J26" s="124">
        <f t="shared" si="6"/>
        <v>0</v>
      </c>
      <c r="K26" s="124" t="str">
        <f t="shared" si="1"/>
        <v/>
      </c>
      <c r="L26" s="119" t="str">
        <f t="shared" si="5"/>
        <v/>
      </c>
      <c r="M26" s="173" t="s">
        <v>114</v>
      </c>
      <c r="N26" s="174"/>
      <c r="O26" s="174"/>
      <c r="P26" s="174"/>
      <c r="Q26" s="174"/>
      <c r="R26" s="174"/>
      <c r="S26" s="174"/>
      <c r="T26" s="175"/>
      <c r="U26" s="48"/>
      <c r="W26" s="72"/>
      <c r="X26" s="72"/>
      <c r="Y26" s="72"/>
      <c r="Z26" s="72"/>
    </row>
    <row r="27" spans="1:26" ht="19.95" customHeight="1" x14ac:dyDescent="0.2">
      <c r="A27" s="135" t="str">
        <f>IF(DAY(B27)=1,B27,"")</f>
        <v/>
      </c>
      <c r="B27" s="136">
        <f t="shared" si="2"/>
        <v>45210</v>
      </c>
      <c r="C27" s="137">
        <f t="shared" si="0"/>
        <v>45210</v>
      </c>
      <c r="D27" s="138" t="str">
        <f t="shared" si="3"/>
        <v>稼働</v>
      </c>
      <c r="E27" s="112">
        <v>0.91666666666666663</v>
      </c>
      <c r="F27" s="113">
        <v>0.95833333333333337</v>
      </c>
      <c r="G27" s="120">
        <f>IF(AND(E27&lt;&gt;"",F27&lt;&gt;""),IF((F27-E27-マスタ!$B$7)&gt;マスタ!$C$7,マスタ!$B$7,IF((F27-E27-マスタ!$B$6)&gt;マスタ!$C$6,マスタ!$B$6,マスタ!$B$5)),"")</f>
        <v>0</v>
      </c>
      <c r="H27" s="119">
        <f t="shared" si="4"/>
        <v>4.1666666666666741E-2</v>
      </c>
      <c r="I27" s="120" t="str">
        <f>IF(D27="休日","",IF(F27&gt;マスタ!$C$2,IF(E27&lt;マスタ!$C$2,マスタ!$C$2-E27-(マスタ!$C$4-マスタ!$C$3),""),IF(E27&lt;マスタ!$C$2,F27-E27-G27,"")))</f>
        <v/>
      </c>
      <c r="J27" s="124" t="str">
        <f t="shared" si="6"/>
        <v/>
      </c>
      <c r="K27" s="124">
        <f t="shared" si="1"/>
        <v>4.1666666666666741E-2</v>
      </c>
      <c r="L27" s="119" t="str">
        <f t="shared" si="5"/>
        <v/>
      </c>
      <c r="M27" s="173" t="s">
        <v>116</v>
      </c>
      <c r="N27" s="174"/>
      <c r="O27" s="174"/>
      <c r="P27" s="174"/>
      <c r="Q27" s="174"/>
      <c r="R27" s="174"/>
      <c r="S27" s="174"/>
      <c r="T27" s="175"/>
      <c r="U27" s="48"/>
      <c r="W27" s="72"/>
      <c r="X27" s="72"/>
      <c r="Y27" s="72"/>
      <c r="Z27" s="72"/>
    </row>
    <row r="28" spans="1:26" ht="19.95" customHeight="1" x14ac:dyDescent="0.2">
      <c r="A28" s="135" t="str">
        <f>IF(DAY(B28)=1,B28,"")</f>
        <v/>
      </c>
      <c r="B28" s="136">
        <f t="shared" si="2"/>
        <v>45211</v>
      </c>
      <c r="C28" s="137">
        <f t="shared" si="0"/>
        <v>45211</v>
      </c>
      <c r="D28" s="138" t="str">
        <f t="shared" si="3"/>
        <v>稼働</v>
      </c>
      <c r="E28" s="112">
        <v>0.375</v>
      </c>
      <c r="F28" s="113">
        <v>0.83333333333333337</v>
      </c>
      <c r="G28" s="120">
        <f>IF(AND(E28&lt;&gt;"",F28&lt;&gt;""),IF((F28-E28-マスタ!$B$7)&gt;マスタ!$C$7,マスタ!$B$7,IF((F28-E28-マスタ!$B$6)&gt;マスタ!$C$6,マスタ!$B$6,マスタ!$B$5)),"")</f>
        <v>4.1666666666666664E-2</v>
      </c>
      <c r="H28" s="119">
        <f t="shared" si="4"/>
        <v>0.41666666666666669</v>
      </c>
      <c r="I28" s="120">
        <f>IF(D28="休日","",IF(F28&gt;マスタ!$C$2,IF(E28&lt;マスタ!$C$2,マスタ!$C$2-E28-(マスタ!$C$4-マスタ!$C$3),""),IF(E28&lt;マスタ!$C$2,F28-E28-G28,"")))</f>
        <v>0.33333333333333337</v>
      </c>
      <c r="J28" s="124">
        <f t="shared" si="6"/>
        <v>8.3333333333333315E-2</v>
      </c>
      <c r="K28" s="124" t="str">
        <f t="shared" si="1"/>
        <v/>
      </c>
      <c r="L28" s="119" t="str">
        <f t="shared" si="5"/>
        <v/>
      </c>
      <c r="M28" s="173"/>
      <c r="N28" s="174"/>
      <c r="O28" s="174"/>
      <c r="P28" s="174"/>
      <c r="Q28" s="174"/>
      <c r="R28" s="174"/>
      <c r="S28" s="174"/>
      <c r="T28" s="175"/>
      <c r="U28" s="48"/>
      <c r="W28" s="72"/>
      <c r="X28" s="72"/>
      <c r="Y28" s="72"/>
      <c r="Z28" s="72"/>
    </row>
    <row r="29" spans="1:26" ht="19.95" customHeight="1" x14ac:dyDescent="0.2">
      <c r="A29" s="135"/>
      <c r="B29" s="136">
        <f t="shared" si="2"/>
        <v>45212</v>
      </c>
      <c r="C29" s="137">
        <f t="shared" si="0"/>
        <v>45212</v>
      </c>
      <c r="D29" s="138" t="str">
        <f t="shared" si="3"/>
        <v>稼働</v>
      </c>
      <c r="E29" s="112">
        <v>0.375</v>
      </c>
      <c r="F29" s="113">
        <v>0.72916666666666663</v>
      </c>
      <c r="G29" s="120">
        <f>IF(AND(E29&lt;&gt;"",F29&lt;&gt;""),IF((F29-E29-マスタ!$B$7)&gt;マスタ!$C$7,マスタ!$B$7,IF((F29-E29-マスタ!$B$6)&gt;マスタ!$C$6,マスタ!$B$6,マスタ!$B$5)),"")</f>
        <v>3.125E-2</v>
      </c>
      <c r="H29" s="119">
        <f t="shared" si="4"/>
        <v>0.32291666666666663</v>
      </c>
      <c r="I29" s="120">
        <f>IF(D29="休日","",IF(F29&gt;マスタ!$C$2,IF(E29&lt;マスタ!$C$2,マスタ!$C$2-E29-(マスタ!$C$4-マスタ!$C$3),""),IF(E29&lt;マスタ!$C$2,F29-E29-G29,"")))</f>
        <v>0.32291666666666663</v>
      </c>
      <c r="J29" s="124">
        <f t="shared" si="6"/>
        <v>0</v>
      </c>
      <c r="K29" s="124" t="str">
        <f t="shared" si="1"/>
        <v/>
      </c>
      <c r="L29" s="119" t="str">
        <f t="shared" si="5"/>
        <v/>
      </c>
      <c r="M29" s="173"/>
      <c r="N29" s="174"/>
      <c r="O29" s="174"/>
      <c r="P29" s="174"/>
      <c r="Q29" s="174"/>
      <c r="R29" s="174"/>
      <c r="S29" s="174"/>
      <c r="T29" s="175"/>
      <c r="U29" s="48"/>
      <c r="W29" s="72"/>
      <c r="X29" s="72"/>
      <c r="Y29" s="72"/>
      <c r="Z29" s="72"/>
    </row>
    <row r="30" spans="1:26" ht="19.95" customHeight="1" x14ac:dyDescent="0.2">
      <c r="A30" s="139"/>
      <c r="B30" s="136">
        <f t="shared" si="2"/>
        <v>45213</v>
      </c>
      <c r="C30" s="137">
        <f t="shared" si="0"/>
        <v>45213</v>
      </c>
      <c r="D30" s="138" t="str">
        <f t="shared" si="3"/>
        <v>休日</v>
      </c>
      <c r="E30" s="112"/>
      <c r="F30" s="113"/>
      <c r="G30" s="120" t="str">
        <f>IF(AND(E30&lt;&gt;"",F30&lt;&gt;""),IF((F30-E30-マスタ!$B$7)&gt;マスタ!$C$7,マスタ!$B$7,IF((F30-E30-マスタ!$B$6)&gt;マスタ!$C$6,マスタ!$B$6,マスタ!$B$5)),"")</f>
        <v/>
      </c>
      <c r="H30" s="119" t="str">
        <f t="shared" si="4"/>
        <v/>
      </c>
      <c r="I30" s="120" t="str">
        <f>IF(D30="休日","",IF(F30&gt;マスタ!$C$2,IF(E30&lt;マスタ!$C$2,マスタ!$C$2-E30-(マスタ!$C$4-マスタ!$C$3),""),IF(E30&lt;マスタ!$C$2,F30-E30-G30,"")))</f>
        <v/>
      </c>
      <c r="J30" s="124" t="str">
        <f t="shared" si="6"/>
        <v/>
      </c>
      <c r="K30" s="124" t="str">
        <f t="shared" si="1"/>
        <v/>
      </c>
      <c r="L30" s="119" t="str">
        <f t="shared" si="5"/>
        <v/>
      </c>
      <c r="M30" s="173"/>
      <c r="N30" s="174"/>
      <c r="O30" s="174"/>
      <c r="P30" s="174"/>
      <c r="Q30" s="174"/>
      <c r="R30" s="174"/>
      <c r="S30" s="174"/>
      <c r="T30" s="175"/>
      <c r="U30" s="48"/>
      <c r="W30" s="72"/>
      <c r="X30" s="72"/>
      <c r="Y30" s="72"/>
      <c r="Z30" s="72"/>
    </row>
    <row r="31" spans="1:26" ht="19.95" customHeight="1" x14ac:dyDescent="0.2">
      <c r="A31" s="139"/>
      <c r="B31" s="136">
        <f t="shared" si="2"/>
        <v>45214</v>
      </c>
      <c r="C31" s="137">
        <f t="shared" si="0"/>
        <v>45214</v>
      </c>
      <c r="D31" s="138" t="str">
        <f t="shared" si="3"/>
        <v>休日</v>
      </c>
      <c r="E31" s="112"/>
      <c r="F31" s="113"/>
      <c r="G31" s="120" t="str">
        <f>IF(AND(E31&lt;&gt;"",F31&lt;&gt;""),IF((F31-E31-マスタ!$B$7)&gt;マスタ!$C$7,マスタ!$B$7,IF((F31-E31-マスタ!$B$6)&gt;マスタ!$C$6,マスタ!$B$6,マスタ!$B$5)),"")</f>
        <v/>
      </c>
      <c r="H31" s="119" t="str">
        <f t="shared" si="4"/>
        <v/>
      </c>
      <c r="I31" s="120" t="str">
        <f>IF(D31="休日","",IF(F31&gt;マスタ!$C$2,IF(E31&lt;マスタ!$C$2,マスタ!$C$2-E31-(マスタ!$C$4-マスタ!$C$3),""),IF(E31&lt;マスタ!$C$2,F31-E31-G31,"")))</f>
        <v/>
      </c>
      <c r="J31" s="124" t="str">
        <f t="shared" si="6"/>
        <v/>
      </c>
      <c r="K31" s="124" t="str">
        <f t="shared" si="1"/>
        <v/>
      </c>
      <c r="L31" s="119" t="str">
        <f t="shared" si="5"/>
        <v/>
      </c>
      <c r="M31" s="173"/>
      <c r="N31" s="174"/>
      <c r="O31" s="174"/>
      <c r="P31" s="174"/>
      <c r="Q31" s="174"/>
      <c r="R31" s="174"/>
      <c r="S31" s="174"/>
      <c r="T31" s="175"/>
      <c r="U31" s="48"/>
      <c r="W31" s="72"/>
      <c r="X31" s="72"/>
      <c r="Y31" s="72"/>
      <c r="Z31" s="72"/>
    </row>
    <row r="32" spans="1:26" ht="48" customHeight="1" x14ac:dyDescent="0.2">
      <c r="A32" s="139"/>
      <c r="B32" s="136">
        <f t="shared" si="2"/>
        <v>45215</v>
      </c>
      <c r="C32" s="137">
        <f t="shared" si="0"/>
        <v>45215</v>
      </c>
      <c r="D32" s="138" t="str">
        <f t="shared" si="3"/>
        <v>稼働</v>
      </c>
      <c r="E32" s="112">
        <v>0.375</v>
      </c>
      <c r="F32" s="170">
        <v>0.97916666666666663</v>
      </c>
      <c r="G32" s="120">
        <f>IF(AND(E32&lt;&gt;"",F32&lt;&gt;""),IF((F32-E32-マスタ!$B$7)&gt;マスタ!$C$7,マスタ!$B$7,IF((F32-E32-マスタ!$B$6)&gt;マスタ!$C$6,マスタ!$B$6,マスタ!$B$5)),"")</f>
        <v>4.1666666666666664E-2</v>
      </c>
      <c r="H32" s="171">
        <v>0.38541666666666669</v>
      </c>
      <c r="I32" s="120">
        <f>IF(D32="休日","",IF(F32&gt;マスタ!$C$2,IF(E32&lt;マスタ!$C$2,マスタ!$C$2-E32-(マスタ!$C$4-マスタ!$C$3),""),IF(E32&lt;マスタ!$C$2,F32-E32-G32,"")))</f>
        <v>0.33333333333333337</v>
      </c>
      <c r="J32" s="124">
        <f>IF(D32="休日","",IF(K32="",H32-I32,IF(H32=K32,"",H32-I32-K32)))</f>
        <v>1.041666666666665E-2</v>
      </c>
      <c r="K32" s="172">
        <v>4.1666666666666664E-2</v>
      </c>
      <c r="L32" s="119" t="str">
        <f t="shared" si="5"/>
        <v/>
      </c>
      <c r="M32" s="173" t="s">
        <v>107</v>
      </c>
      <c r="N32" s="174"/>
      <c r="O32" s="174"/>
      <c r="P32" s="174"/>
      <c r="Q32" s="174"/>
      <c r="R32" s="174"/>
      <c r="S32" s="174"/>
      <c r="T32" s="175"/>
      <c r="U32" s="48"/>
      <c r="W32" s="72"/>
      <c r="X32" s="72"/>
      <c r="Y32" s="72"/>
      <c r="Z32" s="72"/>
    </row>
    <row r="33" spans="1:26" ht="34.950000000000003" customHeight="1" x14ac:dyDescent="0.2">
      <c r="A33" s="139"/>
      <c r="B33" s="136">
        <f t="shared" si="2"/>
        <v>45216</v>
      </c>
      <c r="C33" s="137">
        <f t="shared" si="0"/>
        <v>45216</v>
      </c>
      <c r="D33" s="138" t="str">
        <f t="shared" si="3"/>
        <v>稼働</v>
      </c>
      <c r="E33" s="112">
        <v>0.375</v>
      </c>
      <c r="F33" s="170">
        <v>0.91666666666666663</v>
      </c>
      <c r="G33" s="120">
        <f>IF(AND(E33&lt;&gt;"",F33&lt;&gt;""),IF((F33-E33-マスタ!$B$7)&gt;マスタ!$C$7,マスタ!$B$7,IF((F33-E33-マスタ!$B$6)&gt;マスタ!$C$6,マスタ!$B$6,マスタ!$B$5)),"")</f>
        <v>4.1666666666666664E-2</v>
      </c>
      <c r="H33" s="171">
        <v>0.36458333333333331</v>
      </c>
      <c r="I33" s="120">
        <f>IF(D33="休日","",IF(F33&gt;マスタ!$C$2,IF(E33&lt;マスタ!$C$2,マスタ!$C$2-E33-(マスタ!$C$4-マスタ!$C$3),""),IF(E33&lt;マスタ!$C$2,F33-E33-G33,"")))</f>
        <v>0.33333333333333337</v>
      </c>
      <c r="J33" s="124">
        <f t="shared" si="6"/>
        <v>3.1249999999999944E-2</v>
      </c>
      <c r="K33" s="124" t="str">
        <f t="shared" si="1"/>
        <v/>
      </c>
      <c r="L33" s="119" t="str">
        <f t="shared" si="5"/>
        <v/>
      </c>
      <c r="M33" s="173" t="s">
        <v>108</v>
      </c>
      <c r="N33" s="174"/>
      <c r="O33" s="174"/>
      <c r="P33" s="174"/>
      <c r="Q33" s="174"/>
      <c r="R33" s="174"/>
      <c r="S33" s="174"/>
      <c r="T33" s="175"/>
      <c r="U33" s="48"/>
      <c r="W33" s="72"/>
      <c r="X33" s="72"/>
      <c r="Y33" s="72"/>
      <c r="Z33" s="72"/>
    </row>
    <row r="34" spans="1:26" ht="19.95" customHeight="1" x14ac:dyDescent="0.2">
      <c r="A34" s="139"/>
      <c r="B34" s="136">
        <f t="shared" si="2"/>
        <v>45217</v>
      </c>
      <c r="C34" s="137">
        <f t="shared" si="0"/>
        <v>45217</v>
      </c>
      <c r="D34" s="138" t="str">
        <f t="shared" si="3"/>
        <v>稼働</v>
      </c>
      <c r="E34" s="112">
        <v>0.375</v>
      </c>
      <c r="F34" s="113">
        <v>0.72916666666666663</v>
      </c>
      <c r="G34" s="120">
        <f>IF(AND(E34&lt;&gt;"",F34&lt;&gt;""),IF((F34-E34-マスタ!$B$7)&gt;マスタ!$C$7,マスタ!$B$7,IF((F34-E34-マスタ!$B$6)&gt;マスタ!$C$6,マスタ!$B$6,マスタ!$B$5)),"")</f>
        <v>3.125E-2</v>
      </c>
      <c r="H34" s="119">
        <f t="shared" si="4"/>
        <v>0.32291666666666663</v>
      </c>
      <c r="I34" s="120">
        <f>IF(D34="休日","",IF(F34&gt;マスタ!$C$2,IF(E34&lt;マスタ!$C$2,マスタ!$C$2-E34-(マスタ!$C$4-マスタ!$C$3),""),IF(E34&lt;マスタ!$C$2,F34-E34-G34,"")))</f>
        <v>0.32291666666666663</v>
      </c>
      <c r="J34" s="124">
        <f t="shared" si="6"/>
        <v>0</v>
      </c>
      <c r="K34" s="124" t="str">
        <f t="shared" si="1"/>
        <v/>
      </c>
      <c r="L34" s="119" t="str">
        <f t="shared" si="5"/>
        <v/>
      </c>
      <c r="M34" s="173"/>
      <c r="N34" s="174"/>
      <c r="O34" s="174"/>
      <c r="P34" s="174"/>
      <c r="Q34" s="174"/>
      <c r="R34" s="174"/>
      <c r="S34" s="174"/>
      <c r="T34" s="175"/>
      <c r="U34" s="48"/>
      <c r="W34" s="72"/>
      <c r="X34" s="72"/>
      <c r="Y34" s="72"/>
      <c r="Z34" s="72"/>
    </row>
    <row r="35" spans="1:26" ht="19.95" customHeight="1" x14ac:dyDescent="0.2">
      <c r="A35" s="139"/>
      <c r="B35" s="136">
        <f t="shared" si="2"/>
        <v>45218</v>
      </c>
      <c r="C35" s="137">
        <f t="shared" si="0"/>
        <v>45218</v>
      </c>
      <c r="D35" s="138" t="str">
        <f t="shared" si="3"/>
        <v>休日</v>
      </c>
      <c r="E35" s="112"/>
      <c r="F35" s="113"/>
      <c r="G35" s="120" t="str">
        <f>IF(AND(E35&lt;&gt;"",F35&lt;&gt;""),IF((F35-E35-マスタ!$B$7)&gt;マスタ!$C$7,マスタ!$B$7,IF((F35-E35-マスタ!$B$6)&gt;マスタ!$C$6,マスタ!$B$6,マスタ!$B$5)),"")</f>
        <v/>
      </c>
      <c r="H35" s="119" t="str">
        <f t="shared" si="4"/>
        <v/>
      </c>
      <c r="I35" s="120" t="str">
        <f>IF(D35="休日","",IF(F35&gt;マスタ!$C$2,IF(E35&lt;マスタ!$C$2,マスタ!$C$2-E35-(マスタ!$C$4-マスタ!$C$3),""),IF(E35&lt;マスタ!$C$2,F35-E35-G35,"")))</f>
        <v/>
      </c>
      <c r="J35" s="124" t="str">
        <f t="shared" si="6"/>
        <v/>
      </c>
      <c r="K35" s="124" t="str">
        <f t="shared" si="1"/>
        <v/>
      </c>
      <c r="L35" s="119" t="str">
        <f t="shared" si="5"/>
        <v/>
      </c>
      <c r="M35" s="173" t="s">
        <v>118</v>
      </c>
      <c r="N35" s="174"/>
      <c r="O35" s="174"/>
      <c r="P35" s="174"/>
      <c r="Q35" s="174"/>
      <c r="R35" s="174"/>
      <c r="S35" s="174"/>
      <c r="T35" s="175"/>
      <c r="U35" s="48" t="s">
        <v>9</v>
      </c>
      <c r="V35" s="23"/>
      <c r="W35" s="72"/>
      <c r="X35" s="72"/>
      <c r="Y35" s="72"/>
      <c r="Z35" s="72"/>
    </row>
    <row r="36" spans="1:26" ht="19.95" customHeight="1" x14ac:dyDescent="0.2">
      <c r="A36" s="139"/>
      <c r="B36" s="136">
        <f t="shared" si="2"/>
        <v>45219</v>
      </c>
      <c r="C36" s="137">
        <f t="shared" si="0"/>
        <v>45219</v>
      </c>
      <c r="D36" s="138" t="str">
        <f t="shared" si="3"/>
        <v>稼働</v>
      </c>
      <c r="E36" s="112">
        <v>0.375</v>
      </c>
      <c r="F36" s="113">
        <v>0.72916666666666663</v>
      </c>
      <c r="G36" s="120">
        <f>IF(AND(E36&lt;&gt;"",F36&lt;&gt;""),IF((F36-E36-マスタ!$B$7)&gt;マスタ!$C$7,マスタ!$B$7,IF((F36-E36-マスタ!$B$6)&gt;マスタ!$C$6,マスタ!$B$6,マスタ!$B$5)),"")</f>
        <v>3.125E-2</v>
      </c>
      <c r="H36" s="119">
        <f t="shared" si="4"/>
        <v>0.32291666666666663</v>
      </c>
      <c r="I36" s="120">
        <f>IF(D36="休日","",IF(F36&gt;マスタ!$C$2,IF(E36&lt;マスタ!$C$2,マスタ!$C$2-E36-(マスタ!$C$4-マスタ!$C$3),""),IF(E36&lt;マスタ!$C$2,F36-E36-G36,"")))</f>
        <v>0.32291666666666663</v>
      </c>
      <c r="J36" s="124">
        <f t="shared" si="6"/>
        <v>0</v>
      </c>
      <c r="K36" s="124" t="str">
        <f t="shared" si="1"/>
        <v/>
      </c>
      <c r="L36" s="119" t="str">
        <f t="shared" si="5"/>
        <v/>
      </c>
      <c r="M36" s="173"/>
      <c r="N36" s="174"/>
      <c r="O36" s="174"/>
      <c r="P36" s="174"/>
      <c r="Q36" s="174"/>
      <c r="R36" s="174"/>
      <c r="S36" s="174"/>
      <c r="T36" s="175"/>
      <c r="U36" s="48"/>
      <c r="W36" s="72"/>
      <c r="X36" s="72"/>
      <c r="Y36" s="72"/>
      <c r="Z36" s="72"/>
    </row>
    <row r="37" spans="1:26" ht="19.95" customHeight="1" x14ac:dyDescent="0.2">
      <c r="A37" s="139"/>
      <c r="B37" s="136">
        <f t="shared" si="2"/>
        <v>45220</v>
      </c>
      <c r="C37" s="137">
        <f t="shared" si="0"/>
        <v>45220</v>
      </c>
      <c r="D37" s="138" t="str">
        <f t="shared" si="3"/>
        <v>休日</v>
      </c>
      <c r="E37" s="112"/>
      <c r="F37" s="113"/>
      <c r="G37" s="120" t="str">
        <f>IF(AND(E37&lt;&gt;"",F37&lt;&gt;""),IF((F37-E37-マスタ!$B$7)&gt;マスタ!$C$7,マスタ!$B$7,IF((F37-E37-マスタ!$B$6)&gt;マスタ!$C$6,マスタ!$B$6,マスタ!$B$5)),"")</f>
        <v/>
      </c>
      <c r="H37" s="119" t="str">
        <f t="shared" si="4"/>
        <v/>
      </c>
      <c r="I37" s="120" t="str">
        <f>IF(D37="休日","",IF(F37&gt;マスタ!$C$2,IF(E37&lt;マスタ!$C$2,マスタ!$C$2-E37-(マスタ!$C$4-マスタ!$C$3),""),IF(E37&lt;マスタ!$C$2,F37-E37-G37,"")))</f>
        <v/>
      </c>
      <c r="J37" s="124" t="str">
        <f t="shared" si="6"/>
        <v/>
      </c>
      <c r="K37" s="124" t="str">
        <f t="shared" si="1"/>
        <v/>
      </c>
      <c r="L37" s="119" t="str">
        <f t="shared" si="5"/>
        <v/>
      </c>
      <c r="M37" s="173"/>
      <c r="N37" s="174"/>
      <c r="O37" s="174"/>
      <c r="P37" s="174"/>
      <c r="Q37" s="174"/>
      <c r="R37" s="174"/>
      <c r="S37" s="174"/>
      <c r="T37" s="175"/>
      <c r="U37" s="48"/>
      <c r="W37" s="72"/>
      <c r="X37" s="72"/>
      <c r="Y37" s="72"/>
      <c r="Z37" s="72"/>
    </row>
    <row r="38" spans="1:26" ht="19.95" customHeight="1" x14ac:dyDescent="0.2">
      <c r="A38" s="139"/>
      <c r="B38" s="136">
        <f t="shared" si="2"/>
        <v>45221</v>
      </c>
      <c r="C38" s="137">
        <f t="shared" si="0"/>
        <v>45221</v>
      </c>
      <c r="D38" s="138" t="str">
        <f t="shared" si="3"/>
        <v>休日</v>
      </c>
      <c r="E38" s="112"/>
      <c r="F38" s="113"/>
      <c r="G38" s="120" t="str">
        <f>IF(AND(E38&lt;&gt;"",F38&lt;&gt;""),IF((F38-E38-マスタ!$B$7)&gt;マスタ!$C$7,マスタ!$B$7,IF((F38-E38-マスタ!$B$6)&gt;マスタ!$C$6,マスタ!$B$6,マスタ!$B$5)),"")</f>
        <v/>
      </c>
      <c r="H38" s="119" t="str">
        <f t="shared" si="4"/>
        <v/>
      </c>
      <c r="I38" s="120" t="str">
        <f>IF(D38="休日","",IF(F38&gt;マスタ!$C$2,IF(E38&lt;マスタ!$C$2,マスタ!$C$2-E38-(マスタ!$C$4-マスタ!$C$3),""),IF(E38&lt;マスタ!$C$2,F38-E38-G38,"")))</f>
        <v/>
      </c>
      <c r="J38" s="124" t="str">
        <f t="shared" si="6"/>
        <v/>
      </c>
      <c r="K38" s="124" t="str">
        <f t="shared" si="1"/>
        <v/>
      </c>
      <c r="L38" s="119" t="str">
        <f t="shared" si="5"/>
        <v/>
      </c>
      <c r="M38" s="173"/>
      <c r="N38" s="174"/>
      <c r="O38" s="174"/>
      <c r="P38" s="174"/>
      <c r="Q38" s="174"/>
      <c r="R38" s="174"/>
      <c r="S38" s="174"/>
      <c r="T38" s="175"/>
      <c r="U38" s="48"/>
      <c r="W38" s="72"/>
      <c r="X38" s="72"/>
      <c r="Y38" s="72"/>
      <c r="Z38" s="72"/>
    </row>
    <row r="39" spans="1:26" ht="19.95" customHeight="1" x14ac:dyDescent="0.2">
      <c r="A39" s="139"/>
      <c r="B39" s="136">
        <f t="shared" si="2"/>
        <v>45222</v>
      </c>
      <c r="C39" s="137">
        <f t="shared" si="0"/>
        <v>45222</v>
      </c>
      <c r="D39" s="138" t="str">
        <f t="shared" si="3"/>
        <v>稼働</v>
      </c>
      <c r="E39" s="112">
        <v>0.375</v>
      </c>
      <c r="F39" s="113">
        <v>0.72916666666666663</v>
      </c>
      <c r="G39" s="120">
        <f>IF(AND(E39&lt;&gt;"",F39&lt;&gt;""),IF((F39-E39-マスタ!$B$7)&gt;マスタ!$C$7,マスタ!$B$7,IF((F39-E39-マスタ!$B$6)&gt;マスタ!$C$6,マスタ!$B$6,マスタ!$B$5)),"")</f>
        <v>3.125E-2</v>
      </c>
      <c r="H39" s="119">
        <f t="shared" si="4"/>
        <v>0.32291666666666663</v>
      </c>
      <c r="I39" s="120">
        <f>IF(D39="休日","",IF(F39&gt;マスタ!$C$2,IF(E39&lt;マスタ!$C$2,マスタ!$C$2-E39-(マスタ!$C$4-マスタ!$C$3),""),IF(E39&lt;マスタ!$C$2,F39-E39-G39,"")))</f>
        <v>0.32291666666666663</v>
      </c>
      <c r="J39" s="124">
        <f t="shared" si="6"/>
        <v>0</v>
      </c>
      <c r="K39" s="124" t="str">
        <f t="shared" si="1"/>
        <v/>
      </c>
      <c r="L39" s="119" t="str">
        <f t="shared" si="5"/>
        <v/>
      </c>
      <c r="M39" s="173"/>
      <c r="N39" s="174"/>
      <c r="O39" s="174"/>
      <c r="P39" s="174"/>
      <c r="Q39" s="174"/>
      <c r="R39" s="174"/>
      <c r="S39" s="174"/>
      <c r="T39" s="175"/>
      <c r="U39" s="48"/>
      <c r="W39" s="72"/>
      <c r="X39" s="72"/>
      <c r="Y39" s="72"/>
      <c r="Z39" s="72"/>
    </row>
    <row r="40" spans="1:26" ht="19.95" customHeight="1" x14ac:dyDescent="0.2">
      <c r="A40" s="139"/>
      <c r="B40" s="136">
        <f t="shared" si="2"/>
        <v>45223</v>
      </c>
      <c r="C40" s="137">
        <f t="shared" si="0"/>
        <v>45223</v>
      </c>
      <c r="D40" s="138" t="str">
        <f t="shared" si="3"/>
        <v>稼働</v>
      </c>
      <c r="E40" s="112">
        <v>0.375</v>
      </c>
      <c r="F40" s="113">
        <v>0.72916666666666663</v>
      </c>
      <c r="G40" s="120">
        <f>IF(AND(E40&lt;&gt;"",F40&lt;&gt;""),IF((F40-E40-マスタ!$B$7)&gt;マスタ!$C$7,マスタ!$B$7,IF((F40-E40-マスタ!$B$6)&gt;マスタ!$C$6,マスタ!$B$6,マスタ!$B$5)),"")</f>
        <v>3.125E-2</v>
      </c>
      <c r="H40" s="119">
        <f t="shared" si="4"/>
        <v>0.32291666666666663</v>
      </c>
      <c r="I40" s="120">
        <f>IF(D40="休日","",IF(F40&gt;マスタ!$C$2,IF(E40&lt;マスタ!$C$2,マスタ!$C$2-E40-(マスタ!$C$4-マスタ!$C$3),""),IF(E40&lt;マスタ!$C$2,F40-E40-G40,"")))</f>
        <v>0.32291666666666663</v>
      </c>
      <c r="J40" s="124">
        <f t="shared" si="6"/>
        <v>0</v>
      </c>
      <c r="K40" s="124" t="str">
        <f t="shared" si="1"/>
        <v/>
      </c>
      <c r="L40" s="119" t="str">
        <f t="shared" si="5"/>
        <v/>
      </c>
      <c r="M40" s="173"/>
      <c r="N40" s="174"/>
      <c r="O40" s="174"/>
      <c r="P40" s="174"/>
      <c r="Q40" s="174"/>
      <c r="R40" s="174"/>
      <c r="S40" s="174"/>
      <c r="T40" s="175"/>
      <c r="U40" s="48"/>
      <c r="W40" s="72"/>
      <c r="X40" s="72"/>
      <c r="Y40" s="72"/>
      <c r="Z40" s="72"/>
    </row>
    <row r="41" spans="1:26" ht="19.95" customHeight="1" x14ac:dyDescent="0.2">
      <c r="A41" s="139"/>
      <c r="B41" s="136">
        <f t="shared" si="2"/>
        <v>45224</v>
      </c>
      <c r="C41" s="137">
        <f t="shared" si="0"/>
        <v>45224</v>
      </c>
      <c r="D41" s="138" t="str">
        <f t="shared" si="3"/>
        <v>稼働</v>
      </c>
      <c r="E41" s="112">
        <v>0.375</v>
      </c>
      <c r="F41" s="113">
        <v>0.72916666666666663</v>
      </c>
      <c r="G41" s="120">
        <f>IF(AND(E41&lt;&gt;"",F41&lt;&gt;""),IF((F41-E41-マスタ!$B$7)&gt;マスタ!$C$7,マスタ!$B$7,IF((F41-E41-マスタ!$B$6)&gt;マスタ!$C$6,マスタ!$B$6,マスタ!$B$5)),"")</f>
        <v>3.125E-2</v>
      </c>
      <c r="H41" s="119">
        <f t="shared" si="4"/>
        <v>0.32291666666666663</v>
      </c>
      <c r="I41" s="120">
        <f>IF(D41="休日","",IF(F41&gt;マスタ!$C$2,IF(E41&lt;マスタ!$C$2,マスタ!$C$2-E41-(マスタ!$C$4-マスタ!$C$3),""),IF(E41&lt;マスタ!$C$2,F41-E41-G41,"")))</f>
        <v>0.32291666666666663</v>
      </c>
      <c r="J41" s="124">
        <f t="shared" si="6"/>
        <v>0</v>
      </c>
      <c r="K41" s="124" t="str">
        <f t="shared" si="1"/>
        <v/>
      </c>
      <c r="L41" s="119" t="str">
        <f t="shared" si="5"/>
        <v/>
      </c>
      <c r="M41" s="173"/>
      <c r="N41" s="174"/>
      <c r="O41" s="174"/>
      <c r="P41" s="174"/>
      <c r="Q41" s="174"/>
      <c r="R41" s="174"/>
      <c r="S41" s="174"/>
      <c r="T41" s="175"/>
      <c r="U41" s="48"/>
      <c r="W41" s="72"/>
      <c r="X41" s="72"/>
      <c r="Y41" s="72"/>
      <c r="Z41" s="72"/>
    </row>
    <row r="42" spans="1:26" ht="19.95" customHeight="1" x14ac:dyDescent="0.2">
      <c r="A42" s="139"/>
      <c r="B42" s="136">
        <f t="shared" si="2"/>
        <v>45225</v>
      </c>
      <c r="C42" s="137">
        <f t="shared" si="0"/>
        <v>45225</v>
      </c>
      <c r="D42" s="138" t="str">
        <f t="shared" si="3"/>
        <v>稼働</v>
      </c>
      <c r="E42" s="112">
        <v>0.375</v>
      </c>
      <c r="F42" s="113">
        <v>0.72916666666666663</v>
      </c>
      <c r="G42" s="120">
        <f>IF(AND(E42&lt;&gt;"",F42&lt;&gt;""),IF((F42-E42-マスタ!$B$7)&gt;マスタ!$C$7,マスタ!$B$7,IF((F42-E42-マスタ!$B$6)&gt;マスタ!$C$6,マスタ!$B$6,マスタ!$B$5)),"")</f>
        <v>3.125E-2</v>
      </c>
      <c r="H42" s="119">
        <f t="shared" si="4"/>
        <v>0.32291666666666663</v>
      </c>
      <c r="I42" s="120">
        <f>IF(D42="休日","",IF(F42&gt;マスタ!$C$2,IF(E42&lt;マスタ!$C$2,マスタ!$C$2-E42-(マスタ!$C$4-マスタ!$C$3),""),IF(E42&lt;マスタ!$C$2,F42-E42-G42,"")))</f>
        <v>0.32291666666666663</v>
      </c>
      <c r="J42" s="124">
        <f t="shared" si="6"/>
        <v>0</v>
      </c>
      <c r="K42" s="124" t="str">
        <f t="shared" si="1"/>
        <v/>
      </c>
      <c r="L42" s="119" t="str">
        <f t="shared" si="5"/>
        <v/>
      </c>
      <c r="M42" s="173"/>
      <c r="N42" s="174"/>
      <c r="O42" s="174"/>
      <c r="P42" s="174"/>
      <c r="Q42" s="174"/>
      <c r="R42" s="174"/>
      <c r="S42" s="174"/>
      <c r="T42" s="175"/>
      <c r="U42" s="49"/>
      <c r="W42" s="72"/>
      <c r="X42" s="72"/>
      <c r="Y42" s="72"/>
      <c r="Z42" s="72"/>
    </row>
    <row r="43" spans="1:26" ht="19.95" customHeight="1" x14ac:dyDescent="0.2">
      <c r="A43" s="139"/>
      <c r="B43" s="136">
        <f t="shared" si="2"/>
        <v>45226</v>
      </c>
      <c r="C43" s="137">
        <f t="shared" si="0"/>
        <v>45226</v>
      </c>
      <c r="D43" s="138" t="str">
        <f t="shared" si="3"/>
        <v>稼働</v>
      </c>
      <c r="E43" s="112">
        <v>0.375</v>
      </c>
      <c r="F43" s="113">
        <v>0.72916666666666663</v>
      </c>
      <c r="G43" s="120">
        <f>IF(AND(E43&lt;&gt;"",F43&lt;&gt;""),IF((F43-E43-マスタ!$B$7)&gt;マスタ!$C$7,マスタ!$B$7,IF((F43-E43-マスタ!$B$6)&gt;マスタ!$C$6,マスタ!$B$6,マスタ!$B$5)),"")</f>
        <v>3.125E-2</v>
      </c>
      <c r="H43" s="119">
        <f t="shared" si="4"/>
        <v>0.32291666666666663</v>
      </c>
      <c r="I43" s="120">
        <f>IF(D43="休日","",IF(F43&gt;マスタ!$C$2,IF(E43&lt;マスタ!$C$2,マスタ!$C$2-E43-(マスタ!$C$4-マスタ!$C$3),""),IF(E43&lt;マスタ!$C$2,F43-E43-G43,"")))</f>
        <v>0.32291666666666663</v>
      </c>
      <c r="J43" s="124">
        <f t="shared" si="6"/>
        <v>0</v>
      </c>
      <c r="K43" s="124" t="str">
        <f t="shared" si="1"/>
        <v/>
      </c>
      <c r="L43" s="119" t="str">
        <f t="shared" si="5"/>
        <v/>
      </c>
      <c r="M43" s="173"/>
      <c r="N43" s="174"/>
      <c r="O43" s="174"/>
      <c r="P43" s="174"/>
      <c r="Q43" s="174"/>
      <c r="R43" s="174"/>
      <c r="S43" s="174"/>
      <c r="T43" s="175"/>
      <c r="U43" s="48"/>
      <c r="W43" s="72"/>
      <c r="X43" s="72"/>
      <c r="Y43" s="72"/>
      <c r="Z43" s="72"/>
    </row>
    <row r="44" spans="1:26" ht="19.95" customHeight="1" x14ac:dyDescent="0.2">
      <c r="A44" s="139"/>
      <c r="B44" s="136">
        <f t="shared" si="2"/>
        <v>45227</v>
      </c>
      <c r="C44" s="137">
        <f t="shared" si="0"/>
        <v>45227</v>
      </c>
      <c r="D44" s="138" t="str">
        <f t="shared" si="3"/>
        <v>休日</v>
      </c>
      <c r="E44" s="112"/>
      <c r="F44" s="113"/>
      <c r="G44" s="120" t="str">
        <f>IF(AND(E44&lt;&gt;"",F44&lt;&gt;""),IF((F44-E44-マスタ!$B$7)&gt;マスタ!$C$7,マスタ!$B$7,IF((F44-E44-マスタ!$B$6)&gt;マスタ!$C$6,マスタ!$B$6,マスタ!$B$5)),"")</f>
        <v/>
      </c>
      <c r="H44" s="119" t="str">
        <f t="shared" si="4"/>
        <v/>
      </c>
      <c r="I44" s="120" t="str">
        <f>IF(D44="休日","",IF(F44&gt;マスタ!$C$2,IF(E44&lt;マスタ!$C$2,マスタ!$C$2-E44-(マスタ!$C$4-マスタ!$C$3),""),IF(E44&lt;マスタ!$C$2,F44-E44-G44,"")))</f>
        <v/>
      </c>
      <c r="J44" s="124" t="str">
        <f t="shared" si="6"/>
        <v/>
      </c>
      <c r="K44" s="124" t="str">
        <f t="shared" si="1"/>
        <v/>
      </c>
      <c r="L44" s="119" t="str">
        <f t="shared" si="5"/>
        <v/>
      </c>
      <c r="M44" s="173"/>
      <c r="N44" s="174"/>
      <c r="O44" s="174"/>
      <c r="P44" s="174"/>
      <c r="Q44" s="174"/>
      <c r="R44" s="174"/>
      <c r="S44" s="174"/>
      <c r="T44" s="175"/>
      <c r="U44" s="48"/>
      <c r="W44" s="72"/>
      <c r="X44" s="72"/>
      <c r="Y44" s="72"/>
      <c r="Z44" s="72"/>
    </row>
    <row r="45" spans="1:26" ht="19.95" customHeight="1" x14ac:dyDescent="0.2">
      <c r="A45" s="139"/>
      <c r="B45" s="136">
        <f>IF(DAY(B44+1) &lt; 5,"",B44+1)</f>
        <v>45228</v>
      </c>
      <c r="C45" s="137">
        <f t="shared" si="0"/>
        <v>45228</v>
      </c>
      <c r="D45" s="138" t="str">
        <f t="shared" si="3"/>
        <v>休日</v>
      </c>
      <c r="E45" s="112"/>
      <c r="F45" s="113"/>
      <c r="G45" s="120" t="str">
        <f>IF(AND(E45&lt;&gt;"",F45&lt;&gt;""),IF((F45-E45-マスタ!$B$7)&gt;マスタ!$C$7,マスタ!$B$7,IF((F45-E45-マスタ!$B$6)&gt;マスタ!$C$6,マスタ!$B$6,マスタ!$B$5)),"")</f>
        <v/>
      </c>
      <c r="H45" s="119" t="str">
        <f t="shared" si="4"/>
        <v/>
      </c>
      <c r="I45" s="120" t="str">
        <f>IF(D45="休日","",IF(F45&gt;マスタ!$C$2,IF(E45&lt;マスタ!$C$2,マスタ!$C$2-E45-(マスタ!$C$4-マスタ!$C$3),""),IF(E45&lt;マスタ!$C$2,F45-E45-G45,"")))</f>
        <v/>
      </c>
      <c r="J45" s="124" t="str">
        <f t="shared" si="6"/>
        <v/>
      </c>
      <c r="K45" s="124" t="str">
        <f t="shared" si="1"/>
        <v/>
      </c>
      <c r="L45" s="119" t="str">
        <f t="shared" si="5"/>
        <v/>
      </c>
      <c r="M45" s="173"/>
      <c r="N45" s="174"/>
      <c r="O45" s="174"/>
      <c r="P45" s="174"/>
      <c r="Q45" s="174"/>
      <c r="R45" s="174"/>
      <c r="S45" s="174"/>
      <c r="T45" s="175"/>
      <c r="U45" s="48"/>
      <c r="W45" s="72"/>
      <c r="X45" s="72"/>
      <c r="Y45" s="72"/>
      <c r="Z45" s="72"/>
    </row>
    <row r="46" spans="1:26" ht="21" customHeight="1" x14ac:dyDescent="0.2">
      <c r="A46" s="139"/>
      <c r="B46" s="136">
        <f>IF(B45="","",IF(DAY(B45+1) &lt; 5,"",B45+1))</f>
        <v>45229</v>
      </c>
      <c r="C46" s="137">
        <f t="shared" si="0"/>
        <v>45229</v>
      </c>
      <c r="D46" s="138" t="str">
        <f t="shared" si="3"/>
        <v>稼働</v>
      </c>
      <c r="E46" s="112">
        <v>0.375</v>
      </c>
      <c r="F46" s="113">
        <v>0.72916666666666663</v>
      </c>
      <c r="G46" s="120">
        <f>IF(AND(E46&lt;&gt;"",F46&lt;&gt;""),IF((F46-E46-マスタ!$B$7)&gt;マスタ!$C$7,マスタ!$B$7,IF((F46-E46-マスタ!$B$6)&gt;マスタ!$C$6,マスタ!$B$6,マスタ!$B$5)),"")</f>
        <v>3.125E-2</v>
      </c>
      <c r="H46" s="119">
        <f t="shared" si="4"/>
        <v>0.32291666666666663</v>
      </c>
      <c r="I46" s="120">
        <f>IF(D46="休日","",IF(F46&gt;マスタ!$C$2,IF(E46&lt;マスタ!$C$2,マスタ!$C$2-E46-(マスタ!$C$4-マスタ!$C$3),""),IF(E46&lt;マスタ!$C$2,F46-E46-G46,"")))</f>
        <v>0.32291666666666663</v>
      </c>
      <c r="J46" s="124">
        <f t="shared" si="6"/>
        <v>0</v>
      </c>
      <c r="K46" s="124" t="str">
        <f t="shared" si="1"/>
        <v/>
      </c>
      <c r="L46" s="119" t="str">
        <f t="shared" si="5"/>
        <v/>
      </c>
      <c r="M46" s="173"/>
      <c r="N46" s="174"/>
      <c r="O46" s="174"/>
      <c r="P46" s="174"/>
      <c r="Q46" s="174"/>
      <c r="R46" s="174"/>
      <c r="S46" s="174"/>
      <c r="T46" s="175"/>
      <c r="U46" s="48"/>
      <c r="W46" s="72"/>
      <c r="X46" s="72"/>
      <c r="Y46" s="72"/>
      <c r="Z46" s="72"/>
    </row>
    <row r="47" spans="1:26" ht="19.95" customHeight="1" x14ac:dyDescent="0.2">
      <c r="A47" s="140"/>
      <c r="B47" s="141">
        <f>IF(B46="","",IF(DAY(B46+1) &lt; 5,"",B46+1))</f>
        <v>45230</v>
      </c>
      <c r="C47" s="142">
        <f t="shared" si="0"/>
        <v>45230</v>
      </c>
      <c r="D47" s="143" t="str">
        <f t="shared" si="3"/>
        <v>稼働</v>
      </c>
      <c r="E47" s="114">
        <v>0.375</v>
      </c>
      <c r="F47" s="115">
        <v>0.72916666666666663</v>
      </c>
      <c r="G47" s="121">
        <f>IF(AND(E47&lt;&gt;"",F47&lt;&gt;""),IF((F47-E47-マスタ!$B$7)&gt;マスタ!$C$7,マスタ!$B$7,IF((F47-E47-マスタ!$B$6)&gt;マスタ!$C$6,マスタ!$B$6,マスタ!$B$5)),"")</f>
        <v>3.125E-2</v>
      </c>
      <c r="H47" s="122">
        <f t="shared" si="4"/>
        <v>0.32291666666666663</v>
      </c>
      <c r="I47" s="121">
        <f>IF(D47="休日","",IF(F47&gt;マスタ!$C$2,IF(E47&lt;マスタ!$C$2,マスタ!$C$2-E47-(マスタ!$C$4-マスタ!$C$3),""),IF(E47&lt;マスタ!$C$2,F47-E47-G47,"")))</f>
        <v>0.32291666666666663</v>
      </c>
      <c r="J47" s="125">
        <f t="shared" si="6"/>
        <v>0</v>
      </c>
      <c r="K47" s="125" t="str">
        <f t="shared" si="1"/>
        <v/>
      </c>
      <c r="L47" s="122" t="str">
        <f t="shared" si="5"/>
        <v/>
      </c>
      <c r="M47" s="176"/>
      <c r="N47" s="177"/>
      <c r="O47" s="177"/>
      <c r="P47" s="177"/>
      <c r="Q47" s="177"/>
      <c r="R47" s="177"/>
      <c r="S47" s="177"/>
      <c r="T47" s="178"/>
      <c r="U47" s="48"/>
      <c r="W47" s="72"/>
      <c r="X47" s="72"/>
      <c r="Y47" s="72"/>
      <c r="Z47" s="72"/>
    </row>
    <row r="48" spans="1:26" ht="19.95" customHeight="1" x14ac:dyDescent="0.2">
      <c r="A48" s="179" t="s">
        <v>103</v>
      </c>
      <c r="B48" s="180"/>
      <c r="C48" s="180"/>
      <c r="D48" s="180"/>
      <c r="E48" s="180"/>
      <c r="F48" s="181"/>
      <c r="G48" s="126">
        <f>SUM(G17:G47)</f>
        <v>0.66666666666666674</v>
      </c>
      <c r="H48" s="127">
        <f>SUM(H17:H47)</f>
        <v>7.8020833333333357</v>
      </c>
      <c r="I48" s="89">
        <f t="shared" ref="I48:L48" si="7">SUM(I17:I47)</f>
        <v>5.8645833333333348</v>
      </c>
      <c r="J48" s="90">
        <f t="shared" si="7"/>
        <v>0.62499999999999978</v>
      </c>
      <c r="K48" s="90">
        <f t="shared" si="7"/>
        <v>0.44791666666666691</v>
      </c>
      <c r="L48" s="91">
        <f t="shared" si="7"/>
        <v>0.86458333333333337</v>
      </c>
      <c r="M48" s="211" t="s">
        <v>106</v>
      </c>
      <c r="N48" s="211"/>
      <c r="O48" s="203" t="s">
        <v>95</v>
      </c>
      <c r="P48" s="204"/>
      <c r="Q48" s="205"/>
      <c r="R48" s="203" t="s">
        <v>94</v>
      </c>
      <c r="S48" s="204"/>
      <c r="T48" s="205"/>
      <c r="U48" s="48"/>
      <c r="W48" s="72"/>
      <c r="X48" s="72"/>
      <c r="Y48" s="72"/>
      <c r="Z48" s="72"/>
    </row>
    <row r="49" spans="1:26" ht="19.95" customHeight="1" x14ac:dyDescent="0.2">
      <c r="A49" s="161"/>
      <c r="B49" s="162"/>
      <c r="C49" s="162"/>
      <c r="D49" s="162"/>
      <c r="E49" s="162"/>
      <c r="F49" s="162"/>
      <c r="G49" s="162"/>
      <c r="H49" s="162"/>
      <c r="I49" s="163"/>
      <c r="J49" s="163"/>
      <c r="K49" s="163"/>
      <c r="L49" s="164"/>
      <c r="M49" s="211"/>
      <c r="N49" s="211"/>
      <c r="O49" s="169" t="s">
        <v>96</v>
      </c>
      <c r="P49" s="206" t="s">
        <v>97</v>
      </c>
      <c r="Q49" s="207"/>
      <c r="R49" s="169" t="s">
        <v>96</v>
      </c>
      <c r="S49" s="206" t="s">
        <v>97</v>
      </c>
      <c r="T49" s="207"/>
      <c r="U49" s="48"/>
      <c r="W49" s="72"/>
      <c r="X49" s="72"/>
      <c r="Y49" s="72"/>
      <c r="Z49" s="72"/>
    </row>
    <row r="50" spans="1:26" ht="30" customHeight="1" x14ac:dyDescent="0.2">
      <c r="A50" s="165"/>
      <c r="B50" s="166"/>
      <c r="C50" s="166"/>
      <c r="D50" s="166"/>
      <c r="E50" s="166"/>
      <c r="F50" s="166"/>
      <c r="G50" s="166"/>
      <c r="H50" s="166"/>
      <c r="I50" s="167"/>
      <c r="J50" s="167"/>
      <c r="K50" s="167"/>
      <c r="L50" s="168"/>
      <c r="M50" s="212">
        <f>SUM(I17:L47)</f>
        <v>7.8020833333333366</v>
      </c>
      <c r="N50" s="212"/>
      <c r="O50" s="109">
        <f>COUNTIF(K17:K47,"&lt;&gt;" &amp; "*")</f>
        <v>4</v>
      </c>
      <c r="P50" s="200">
        <f>SUM(K17:K47)</f>
        <v>0.44791666666666691</v>
      </c>
      <c r="Q50" s="201"/>
      <c r="R50" s="109">
        <f>COUNTIF(L17:L47,"&lt;&gt;" &amp; "*")</f>
        <v>2</v>
      </c>
      <c r="S50" s="200">
        <f>SUM(L17:L47)</f>
        <v>0.86458333333333337</v>
      </c>
      <c r="T50" s="201"/>
      <c r="U50" s="48"/>
      <c r="W50" s="72"/>
      <c r="X50" s="72"/>
      <c r="Y50" s="72"/>
      <c r="Z50" s="72"/>
    </row>
    <row r="51" spans="1:26" ht="22.5" customHeight="1" x14ac:dyDescent="0.2">
      <c r="A51" s="92" t="s">
        <v>64</v>
      </c>
      <c r="B51" s="93"/>
      <c r="C51" s="94"/>
      <c r="D51" s="95"/>
      <c r="E51" s="95"/>
      <c r="F51" s="95"/>
      <c r="G51" s="96"/>
      <c r="H51" s="97"/>
      <c r="I51" s="97"/>
      <c r="J51" s="97"/>
      <c r="K51" s="97"/>
      <c r="L51" s="97"/>
      <c r="M51" s="97"/>
      <c r="N51" s="98"/>
      <c r="O51" s="98"/>
      <c r="P51" s="98"/>
      <c r="Q51" s="98"/>
      <c r="R51" s="98"/>
      <c r="S51" s="98"/>
      <c r="T51" s="99"/>
      <c r="U51" s="16"/>
    </row>
    <row r="52" spans="1:26" ht="22.5" customHeight="1" x14ac:dyDescent="0.2">
      <c r="A52" s="100"/>
      <c r="B52" s="101"/>
      <c r="C52" s="101"/>
      <c r="D52" s="102"/>
      <c r="E52" s="103"/>
      <c r="F52" s="102"/>
      <c r="G52" s="104"/>
      <c r="H52" s="105"/>
      <c r="I52" s="105"/>
      <c r="J52" s="105"/>
      <c r="K52" s="105"/>
      <c r="L52" s="105"/>
      <c r="M52" s="106"/>
      <c r="N52" s="107"/>
      <c r="O52" s="107"/>
      <c r="P52" s="107"/>
      <c r="Q52" s="107"/>
      <c r="R52" s="107"/>
      <c r="S52" s="107"/>
      <c r="T52" s="108"/>
      <c r="U52" s="16"/>
    </row>
    <row r="53" spans="1:26" s="81" customFormat="1" ht="15" customHeight="1" x14ac:dyDescent="0.2"/>
    <row r="54" spans="1:26" s="81" customFormat="1" ht="19.95" customHeight="1" x14ac:dyDescent="0.2"/>
    <row r="55" spans="1:26" s="81" customFormat="1" ht="19.95" customHeight="1" x14ac:dyDescent="0.2">
      <c r="N55" s="81" t="s">
        <v>84</v>
      </c>
    </row>
    <row r="56" spans="1:26" s="81" customFormat="1" ht="19.95" customHeight="1" x14ac:dyDescent="0.2">
      <c r="N56" s="208" t="s">
        <v>104</v>
      </c>
      <c r="O56" s="209"/>
      <c r="P56" s="209"/>
      <c r="Q56" s="209"/>
      <c r="R56" s="209"/>
      <c r="S56" s="210"/>
    </row>
    <row r="57" spans="1:26" s="81" customFormat="1" ht="19.95" customHeight="1" x14ac:dyDescent="0.2">
      <c r="N57" s="188"/>
      <c r="O57" s="189"/>
      <c r="P57" s="189"/>
      <c r="Q57" s="190"/>
      <c r="R57" s="190"/>
      <c r="S57" s="191"/>
    </row>
    <row r="58" spans="1:26" s="81" customFormat="1" ht="19.95" customHeight="1" x14ac:dyDescent="0.2">
      <c r="N58" s="192"/>
      <c r="O58" s="193"/>
      <c r="P58" s="193"/>
      <c r="Q58" s="193"/>
      <c r="R58" s="193"/>
      <c r="S58" s="194"/>
    </row>
    <row r="59" spans="1:26" s="81" customFormat="1" ht="19.95" customHeight="1" x14ac:dyDescent="0.2">
      <c r="N59" s="192"/>
      <c r="O59" s="193"/>
      <c r="P59" s="193"/>
      <c r="Q59" s="193"/>
      <c r="R59" s="193"/>
      <c r="S59" s="194"/>
    </row>
    <row r="60" spans="1:26" s="81" customFormat="1" ht="19.95" customHeight="1" x14ac:dyDescent="0.2">
      <c r="N60" s="192"/>
      <c r="O60" s="193"/>
      <c r="P60" s="193"/>
      <c r="Q60" s="193"/>
      <c r="R60" s="193"/>
      <c r="S60" s="194"/>
    </row>
    <row r="61" spans="1:26" s="81" customFormat="1" ht="19.95" customHeight="1" x14ac:dyDescent="0.2">
      <c r="N61" s="192"/>
      <c r="O61" s="193"/>
      <c r="P61" s="193"/>
      <c r="Q61" s="193"/>
      <c r="R61" s="193"/>
      <c r="S61" s="194"/>
    </row>
    <row r="62" spans="1:26" s="81" customFormat="1" ht="15" customHeight="1" x14ac:dyDescent="0.2">
      <c r="N62" s="195"/>
      <c r="O62" s="196"/>
      <c r="P62" s="196"/>
      <c r="Q62" s="196"/>
      <c r="R62" s="196"/>
      <c r="S62" s="197"/>
      <c r="U62" s="82"/>
      <c r="V62" s="82"/>
      <c r="W62" s="82"/>
    </row>
    <row r="63" spans="1:26" x14ac:dyDescent="0.2">
      <c r="A63" s="88" t="s">
        <v>86</v>
      </c>
      <c r="B63" s="5"/>
      <c r="C63" s="5"/>
      <c r="D63" s="5"/>
      <c r="E63" s="5"/>
      <c r="F63" s="5"/>
      <c r="G63" s="5"/>
      <c r="K63" s="81"/>
      <c r="L63" s="81"/>
      <c r="M63" s="81"/>
      <c r="N63" s="81"/>
      <c r="O63" s="81"/>
      <c r="P63" s="82"/>
      <c r="Q63" s="82"/>
      <c r="R63" s="82"/>
      <c r="S63" s="82"/>
      <c r="T63" s="82"/>
    </row>
    <row r="65" spans="8:26" x14ac:dyDescent="0.2">
      <c r="V65" s="36"/>
      <c r="W65" s="36"/>
      <c r="X65" s="36"/>
      <c r="Y65" s="36"/>
      <c r="Z65" s="36"/>
    </row>
    <row r="66" spans="8:26" x14ac:dyDescent="0.2">
      <c r="H66" s="37"/>
      <c r="I66" s="37"/>
      <c r="J66" s="37"/>
      <c r="K66" s="37"/>
      <c r="L66" s="37"/>
      <c r="M66" s="37"/>
      <c r="V66" s="36"/>
      <c r="W66" s="36"/>
      <c r="X66" s="36"/>
      <c r="Y66" s="36"/>
      <c r="Z66" s="36"/>
    </row>
    <row r="67" spans="8:26" x14ac:dyDescent="0.2">
      <c r="H67" s="37"/>
      <c r="I67" s="37"/>
      <c r="J67" s="37"/>
      <c r="K67" s="37"/>
      <c r="L67" s="37"/>
      <c r="M67" s="37"/>
      <c r="V67" s="36"/>
      <c r="W67" s="36"/>
      <c r="X67" s="36"/>
      <c r="Y67" s="36"/>
      <c r="Z67" s="36"/>
    </row>
    <row r="68" spans="8:26" x14ac:dyDescent="0.2">
      <c r="V68" s="36"/>
      <c r="W68" s="36"/>
      <c r="X68" s="36"/>
      <c r="Y68" s="36"/>
      <c r="Z68" s="36"/>
    </row>
  </sheetData>
  <protectedRanges>
    <protectedRange sqref="A48 F17:F47 F49:F50" name="範囲1_1"/>
    <protectedRange sqref="T26:T29 T17:T21 N22:T25 N30:T31 N37:T38 N44:T45 T32:T36 T39:T43 T46:T50" name="範囲2_1_2"/>
    <protectedRange sqref="N26:S29 N17:S21 N32:S36 N39:S43 N46:S47 R48 M48:Q50 R49:S50" name="範囲2_1_2_1"/>
  </protectedRanges>
  <mergeCells count="46">
    <mergeCell ref="M18:T18"/>
    <mergeCell ref="A4:T4"/>
    <mergeCell ref="L5:M5"/>
    <mergeCell ref="D14:G14"/>
    <mergeCell ref="M16:T16"/>
    <mergeCell ref="M17:T17"/>
    <mergeCell ref="M30:T30"/>
    <mergeCell ref="M19:T19"/>
    <mergeCell ref="M20:T20"/>
    <mergeCell ref="M21:T21"/>
    <mergeCell ref="M22:T22"/>
    <mergeCell ref="M23:T23"/>
    <mergeCell ref="M24:T24"/>
    <mergeCell ref="M25:T25"/>
    <mergeCell ref="M26:T26"/>
    <mergeCell ref="M27:T27"/>
    <mergeCell ref="M28:T28"/>
    <mergeCell ref="M29:T29"/>
    <mergeCell ref="M42:T42"/>
    <mergeCell ref="M31:T31"/>
    <mergeCell ref="M32:T32"/>
    <mergeCell ref="M33:T33"/>
    <mergeCell ref="M34:T34"/>
    <mergeCell ref="M35:T35"/>
    <mergeCell ref="M36:T36"/>
    <mergeCell ref="M37:T37"/>
    <mergeCell ref="M38:T38"/>
    <mergeCell ref="M39:T39"/>
    <mergeCell ref="M40:T40"/>
    <mergeCell ref="M41:T41"/>
    <mergeCell ref="A48:F48"/>
    <mergeCell ref="M48:N49"/>
    <mergeCell ref="O48:Q48"/>
    <mergeCell ref="R48:T48"/>
    <mergeCell ref="P49:Q49"/>
    <mergeCell ref="N57:S62"/>
    <mergeCell ref="M43:T43"/>
    <mergeCell ref="M44:T44"/>
    <mergeCell ref="M45:T45"/>
    <mergeCell ref="M46:T46"/>
    <mergeCell ref="M47:T47"/>
    <mergeCell ref="S49:T49"/>
    <mergeCell ref="M50:N50"/>
    <mergeCell ref="P50:Q50"/>
    <mergeCell ref="S50:T50"/>
    <mergeCell ref="N56:S56"/>
  </mergeCells>
  <phoneticPr fontId="4"/>
  <conditionalFormatting sqref="B17:E47">
    <cfRule type="expression" dxfId="9" priority="8" stopIfTrue="1">
      <formula>OR($D17="休日")</formula>
    </cfRule>
  </conditionalFormatting>
  <conditionalFormatting sqref="C17:D47">
    <cfRule type="expression" dxfId="8" priority="11" stopIfTrue="1">
      <formula>OR($D17="休日")</formula>
    </cfRule>
  </conditionalFormatting>
  <conditionalFormatting sqref="D17:D47">
    <cfRule type="cellIs" dxfId="7" priority="12" stopIfTrue="1" operator="equal">
      <formula>"稼働"</formula>
    </cfRule>
  </conditionalFormatting>
  <conditionalFormatting sqref="F17:F47">
    <cfRule type="expression" dxfId="6" priority="6">
      <formula>OR($D17="休日")</formula>
    </cfRule>
  </conditionalFormatting>
  <conditionalFormatting sqref="G17:M47">
    <cfRule type="expression" dxfId="5" priority="4" stopIfTrue="1">
      <formula>OR($D17="休日")</formula>
    </cfRule>
  </conditionalFormatting>
  <conditionalFormatting sqref="I48:L50">
    <cfRule type="expression" dxfId="4" priority="1" stopIfTrue="1">
      <formula>OR($D48="休日")</formula>
    </cfRule>
  </conditionalFormatting>
  <conditionalFormatting sqref="M48 O48 R48 O49:P50 R49:S50 M50">
    <cfRule type="expression" dxfId="3" priority="5" stopIfTrue="1">
      <formula>OR($D48="休日")</formula>
    </cfRule>
  </conditionalFormatting>
  <pageMargins left="0.78740157480314965" right="0.78740157480314965" top="0.59055118110236227" bottom="0.59055118110236227" header="0.51181102362204722" footer="0.51181102362204722"/>
  <pageSetup paperSize="9" scale="60" orientation="portrait" r:id="rId1"/>
  <headerFooter alignWithMargins="0">
    <oddFooter>&amp;R④-A_実績時間報告書　個人別明細(氏名)_深夜休日含む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49"/>
  <sheetViews>
    <sheetView zoomScaleNormal="100" workbookViewId="0">
      <selection activeCell="G20" sqref="G20"/>
    </sheetView>
  </sheetViews>
  <sheetFormatPr defaultColWidth="8.77734375" defaultRowHeight="13.2" x14ac:dyDescent="0.2"/>
  <cols>
    <col min="1" max="1" width="4.33203125" style="3" customWidth="1"/>
    <col min="2" max="2" width="4" style="3" customWidth="1"/>
    <col min="3" max="3" width="4.109375" style="3" customWidth="1"/>
    <col min="4" max="4" width="8" style="3" customWidth="1"/>
    <col min="5" max="6" width="8.109375" style="3" customWidth="1"/>
    <col min="7" max="7" width="9.109375" style="3" customWidth="1"/>
    <col min="8" max="8" width="9" style="5"/>
    <col min="9" max="9" width="10" style="5" customWidth="1"/>
    <col min="10" max="16" width="7.109375" style="3" customWidth="1"/>
    <col min="17" max="17" width="5.109375" style="3" bestFit="1" customWidth="1"/>
    <col min="18" max="22" width="9.109375" style="3" bestFit="1" customWidth="1"/>
    <col min="23" max="255" width="9" style="3"/>
    <col min="256" max="256" width="4.33203125" style="3" customWidth="1"/>
    <col min="257" max="257" width="4" style="3" customWidth="1"/>
    <col min="258" max="258" width="4.109375" style="3" customWidth="1"/>
    <col min="259" max="259" width="8" style="3" customWidth="1"/>
    <col min="260" max="261" width="8.109375" style="3" customWidth="1"/>
    <col min="262" max="262" width="9.109375" style="3" customWidth="1"/>
    <col min="263" max="263" width="9" style="3"/>
    <col min="264" max="264" width="6.44140625" style="3" customWidth="1"/>
    <col min="265" max="265" width="26.109375" style="3" customWidth="1"/>
    <col min="266" max="266" width="7.109375" style="3" customWidth="1"/>
    <col min="267" max="267" width="11.109375" style="3" customWidth="1"/>
    <col min="268" max="268" width="5.109375" style="3" bestFit="1" customWidth="1"/>
    <col min="269" max="272" width="9" style="3"/>
    <col min="273" max="273" width="7.44140625" style="3" bestFit="1" customWidth="1"/>
    <col min="274" max="278" width="9.109375" style="3" bestFit="1" customWidth="1"/>
    <col min="279" max="511" width="9" style="3"/>
    <col min="512" max="512" width="4.33203125" style="3" customWidth="1"/>
    <col min="513" max="513" width="4" style="3" customWidth="1"/>
    <col min="514" max="514" width="4.109375" style="3" customWidth="1"/>
    <col min="515" max="515" width="8" style="3" customWidth="1"/>
    <col min="516" max="517" width="8.109375" style="3" customWidth="1"/>
    <col min="518" max="518" width="9.109375" style="3" customWidth="1"/>
    <col min="519" max="519" width="9" style="3"/>
    <col min="520" max="520" width="6.44140625" style="3" customWidth="1"/>
    <col min="521" max="521" width="26.109375" style="3" customWidth="1"/>
    <col min="522" max="522" width="7.109375" style="3" customWidth="1"/>
    <col min="523" max="523" width="11.109375" style="3" customWidth="1"/>
    <col min="524" max="524" width="5.109375" style="3" bestFit="1" customWidth="1"/>
    <col min="525" max="528" width="9" style="3"/>
    <col min="529" max="529" width="7.44140625" style="3" bestFit="1" customWidth="1"/>
    <col min="530" max="534" width="9.109375" style="3" bestFit="1" customWidth="1"/>
    <col min="535" max="767" width="9" style="3"/>
    <col min="768" max="768" width="4.33203125" style="3" customWidth="1"/>
    <col min="769" max="769" width="4" style="3" customWidth="1"/>
    <col min="770" max="770" width="4.109375" style="3" customWidth="1"/>
    <col min="771" max="771" width="8" style="3" customWidth="1"/>
    <col min="772" max="773" width="8.109375" style="3" customWidth="1"/>
    <col min="774" max="774" width="9.109375" style="3" customWidth="1"/>
    <col min="775" max="775" width="9" style="3"/>
    <col min="776" max="776" width="6.44140625" style="3" customWidth="1"/>
    <col min="777" max="777" width="26.109375" style="3" customWidth="1"/>
    <col min="778" max="778" width="7.109375" style="3" customWidth="1"/>
    <col min="779" max="779" width="11.109375" style="3" customWidth="1"/>
    <col min="780" max="780" width="5.109375" style="3" bestFit="1" customWidth="1"/>
    <col min="781" max="784" width="9" style="3"/>
    <col min="785" max="785" width="7.44140625" style="3" bestFit="1" customWidth="1"/>
    <col min="786" max="790" width="9.109375" style="3" bestFit="1" customWidth="1"/>
    <col min="791" max="1023" width="9" style="3"/>
    <col min="1024" max="1024" width="4.33203125" style="3" customWidth="1"/>
    <col min="1025" max="1025" width="4" style="3" customWidth="1"/>
    <col min="1026" max="1026" width="4.109375" style="3" customWidth="1"/>
    <col min="1027" max="1027" width="8" style="3" customWidth="1"/>
    <col min="1028" max="1029" width="8.109375" style="3" customWidth="1"/>
    <col min="1030" max="1030" width="9.109375" style="3" customWidth="1"/>
    <col min="1031" max="1031" width="9" style="3"/>
    <col min="1032" max="1032" width="6.44140625" style="3" customWidth="1"/>
    <col min="1033" max="1033" width="26.109375" style="3" customWidth="1"/>
    <col min="1034" max="1034" width="7.109375" style="3" customWidth="1"/>
    <col min="1035" max="1035" width="11.109375" style="3" customWidth="1"/>
    <col min="1036" max="1036" width="5.109375" style="3" bestFit="1" customWidth="1"/>
    <col min="1037" max="1040" width="9" style="3"/>
    <col min="1041" max="1041" width="7.44140625" style="3" bestFit="1" customWidth="1"/>
    <col min="1042" max="1046" width="9.109375" style="3" bestFit="1" customWidth="1"/>
    <col min="1047" max="1279" width="9" style="3"/>
    <col min="1280" max="1280" width="4.33203125" style="3" customWidth="1"/>
    <col min="1281" max="1281" width="4" style="3" customWidth="1"/>
    <col min="1282" max="1282" width="4.109375" style="3" customWidth="1"/>
    <col min="1283" max="1283" width="8" style="3" customWidth="1"/>
    <col min="1284" max="1285" width="8.109375" style="3" customWidth="1"/>
    <col min="1286" max="1286" width="9.109375" style="3" customWidth="1"/>
    <col min="1287" max="1287" width="9" style="3"/>
    <col min="1288" max="1288" width="6.44140625" style="3" customWidth="1"/>
    <col min="1289" max="1289" width="26.109375" style="3" customWidth="1"/>
    <col min="1290" max="1290" width="7.109375" style="3" customWidth="1"/>
    <col min="1291" max="1291" width="11.109375" style="3" customWidth="1"/>
    <col min="1292" max="1292" width="5.109375" style="3" bestFit="1" customWidth="1"/>
    <col min="1293" max="1296" width="9" style="3"/>
    <col min="1297" max="1297" width="7.44140625" style="3" bestFit="1" customWidth="1"/>
    <col min="1298" max="1302" width="9.109375" style="3" bestFit="1" customWidth="1"/>
    <col min="1303" max="1535" width="9" style="3"/>
    <col min="1536" max="1536" width="4.33203125" style="3" customWidth="1"/>
    <col min="1537" max="1537" width="4" style="3" customWidth="1"/>
    <col min="1538" max="1538" width="4.109375" style="3" customWidth="1"/>
    <col min="1539" max="1539" width="8" style="3" customWidth="1"/>
    <col min="1540" max="1541" width="8.109375" style="3" customWidth="1"/>
    <col min="1542" max="1542" width="9.109375" style="3" customWidth="1"/>
    <col min="1543" max="1543" width="9" style="3"/>
    <col min="1544" max="1544" width="6.44140625" style="3" customWidth="1"/>
    <col min="1545" max="1545" width="26.109375" style="3" customWidth="1"/>
    <col min="1546" max="1546" width="7.109375" style="3" customWidth="1"/>
    <col min="1547" max="1547" width="11.109375" style="3" customWidth="1"/>
    <col min="1548" max="1548" width="5.109375" style="3" bestFit="1" customWidth="1"/>
    <col min="1549" max="1552" width="9" style="3"/>
    <col min="1553" max="1553" width="7.44140625" style="3" bestFit="1" customWidth="1"/>
    <col min="1554" max="1558" width="9.109375" style="3" bestFit="1" customWidth="1"/>
    <col min="1559" max="1791" width="9" style="3"/>
    <col min="1792" max="1792" width="4.33203125" style="3" customWidth="1"/>
    <col min="1793" max="1793" width="4" style="3" customWidth="1"/>
    <col min="1794" max="1794" width="4.109375" style="3" customWidth="1"/>
    <col min="1795" max="1795" width="8" style="3" customWidth="1"/>
    <col min="1796" max="1797" width="8.109375" style="3" customWidth="1"/>
    <col min="1798" max="1798" width="9.109375" style="3" customWidth="1"/>
    <col min="1799" max="1799" width="9" style="3"/>
    <col min="1800" max="1800" width="6.44140625" style="3" customWidth="1"/>
    <col min="1801" max="1801" width="26.109375" style="3" customWidth="1"/>
    <col min="1802" max="1802" width="7.109375" style="3" customWidth="1"/>
    <col min="1803" max="1803" width="11.109375" style="3" customWidth="1"/>
    <col min="1804" max="1804" width="5.109375" style="3" bestFit="1" customWidth="1"/>
    <col min="1805" max="1808" width="9" style="3"/>
    <col min="1809" max="1809" width="7.44140625" style="3" bestFit="1" customWidth="1"/>
    <col min="1810" max="1814" width="9.109375" style="3" bestFit="1" customWidth="1"/>
    <col min="1815" max="2047" width="9" style="3"/>
    <col min="2048" max="2048" width="4.33203125" style="3" customWidth="1"/>
    <col min="2049" max="2049" width="4" style="3" customWidth="1"/>
    <col min="2050" max="2050" width="4.109375" style="3" customWidth="1"/>
    <col min="2051" max="2051" width="8" style="3" customWidth="1"/>
    <col min="2052" max="2053" width="8.109375" style="3" customWidth="1"/>
    <col min="2054" max="2054" width="9.109375" style="3" customWidth="1"/>
    <col min="2055" max="2055" width="9" style="3"/>
    <col min="2056" max="2056" width="6.44140625" style="3" customWidth="1"/>
    <col min="2057" max="2057" width="26.109375" style="3" customWidth="1"/>
    <col min="2058" max="2058" width="7.109375" style="3" customWidth="1"/>
    <col min="2059" max="2059" width="11.109375" style="3" customWidth="1"/>
    <col min="2060" max="2060" width="5.109375" style="3" bestFit="1" customWidth="1"/>
    <col min="2061" max="2064" width="9" style="3"/>
    <col min="2065" max="2065" width="7.44140625" style="3" bestFit="1" customWidth="1"/>
    <col min="2066" max="2070" width="9.109375" style="3" bestFit="1" customWidth="1"/>
    <col min="2071" max="2303" width="9" style="3"/>
    <col min="2304" max="2304" width="4.33203125" style="3" customWidth="1"/>
    <col min="2305" max="2305" width="4" style="3" customWidth="1"/>
    <col min="2306" max="2306" width="4.109375" style="3" customWidth="1"/>
    <col min="2307" max="2307" width="8" style="3" customWidth="1"/>
    <col min="2308" max="2309" width="8.109375" style="3" customWidth="1"/>
    <col min="2310" max="2310" width="9.109375" style="3" customWidth="1"/>
    <col min="2311" max="2311" width="9" style="3"/>
    <col min="2312" max="2312" width="6.44140625" style="3" customWidth="1"/>
    <col min="2313" max="2313" width="26.109375" style="3" customWidth="1"/>
    <col min="2314" max="2314" width="7.109375" style="3" customWidth="1"/>
    <col min="2315" max="2315" width="11.109375" style="3" customWidth="1"/>
    <col min="2316" max="2316" width="5.109375" style="3" bestFit="1" customWidth="1"/>
    <col min="2317" max="2320" width="9" style="3"/>
    <col min="2321" max="2321" width="7.44140625" style="3" bestFit="1" customWidth="1"/>
    <col min="2322" max="2326" width="9.109375" style="3" bestFit="1" customWidth="1"/>
    <col min="2327" max="2559" width="9" style="3"/>
    <col min="2560" max="2560" width="4.33203125" style="3" customWidth="1"/>
    <col min="2561" max="2561" width="4" style="3" customWidth="1"/>
    <col min="2562" max="2562" width="4.109375" style="3" customWidth="1"/>
    <col min="2563" max="2563" width="8" style="3" customWidth="1"/>
    <col min="2564" max="2565" width="8.109375" style="3" customWidth="1"/>
    <col min="2566" max="2566" width="9.109375" style="3" customWidth="1"/>
    <col min="2567" max="2567" width="9" style="3"/>
    <col min="2568" max="2568" width="6.44140625" style="3" customWidth="1"/>
    <col min="2569" max="2569" width="26.109375" style="3" customWidth="1"/>
    <col min="2570" max="2570" width="7.109375" style="3" customWidth="1"/>
    <col min="2571" max="2571" width="11.109375" style="3" customWidth="1"/>
    <col min="2572" max="2572" width="5.109375" style="3" bestFit="1" customWidth="1"/>
    <col min="2573" max="2576" width="9" style="3"/>
    <col min="2577" max="2577" width="7.44140625" style="3" bestFit="1" customWidth="1"/>
    <col min="2578" max="2582" width="9.109375" style="3" bestFit="1" customWidth="1"/>
    <col min="2583" max="2815" width="9" style="3"/>
    <col min="2816" max="2816" width="4.33203125" style="3" customWidth="1"/>
    <col min="2817" max="2817" width="4" style="3" customWidth="1"/>
    <col min="2818" max="2818" width="4.109375" style="3" customWidth="1"/>
    <col min="2819" max="2819" width="8" style="3" customWidth="1"/>
    <col min="2820" max="2821" width="8.109375" style="3" customWidth="1"/>
    <col min="2822" max="2822" width="9.109375" style="3" customWidth="1"/>
    <col min="2823" max="2823" width="9" style="3"/>
    <col min="2824" max="2824" width="6.44140625" style="3" customWidth="1"/>
    <col min="2825" max="2825" width="26.109375" style="3" customWidth="1"/>
    <col min="2826" max="2826" width="7.109375" style="3" customWidth="1"/>
    <col min="2827" max="2827" width="11.109375" style="3" customWidth="1"/>
    <col min="2828" max="2828" width="5.109375" style="3" bestFit="1" customWidth="1"/>
    <col min="2829" max="2832" width="9" style="3"/>
    <col min="2833" max="2833" width="7.44140625" style="3" bestFit="1" customWidth="1"/>
    <col min="2834" max="2838" width="9.109375" style="3" bestFit="1" customWidth="1"/>
    <col min="2839" max="3071" width="9" style="3"/>
    <col min="3072" max="3072" width="4.33203125" style="3" customWidth="1"/>
    <col min="3073" max="3073" width="4" style="3" customWidth="1"/>
    <col min="3074" max="3074" width="4.109375" style="3" customWidth="1"/>
    <col min="3075" max="3075" width="8" style="3" customWidth="1"/>
    <col min="3076" max="3077" width="8.109375" style="3" customWidth="1"/>
    <col min="3078" max="3078" width="9.109375" style="3" customWidth="1"/>
    <col min="3079" max="3079" width="9" style="3"/>
    <col min="3080" max="3080" width="6.44140625" style="3" customWidth="1"/>
    <col min="3081" max="3081" width="26.109375" style="3" customWidth="1"/>
    <col min="3082" max="3082" width="7.109375" style="3" customWidth="1"/>
    <col min="3083" max="3083" width="11.109375" style="3" customWidth="1"/>
    <col min="3084" max="3084" width="5.109375" style="3" bestFit="1" customWidth="1"/>
    <col min="3085" max="3088" width="9" style="3"/>
    <col min="3089" max="3089" width="7.44140625" style="3" bestFit="1" customWidth="1"/>
    <col min="3090" max="3094" width="9.109375" style="3" bestFit="1" customWidth="1"/>
    <col min="3095" max="3327" width="9" style="3"/>
    <col min="3328" max="3328" width="4.33203125" style="3" customWidth="1"/>
    <col min="3329" max="3329" width="4" style="3" customWidth="1"/>
    <col min="3330" max="3330" width="4.109375" style="3" customWidth="1"/>
    <col min="3331" max="3331" width="8" style="3" customWidth="1"/>
    <col min="3332" max="3333" width="8.109375" style="3" customWidth="1"/>
    <col min="3334" max="3334" width="9.109375" style="3" customWidth="1"/>
    <col min="3335" max="3335" width="9" style="3"/>
    <col min="3336" max="3336" width="6.44140625" style="3" customWidth="1"/>
    <col min="3337" max="3337" width="26.109375" style="3" customWidth="1"/>
    <col min="3338" max="3338" width="7.109375" style="3" customWidth="1"/>
    <col min="3339" max="3339" width="11.109375" style="3" customWidth="1"/>
    <col min="3340" max="3340" width="5.109375" style="3" bestFit="1" customWidth="1"/>
    <col min="3341" max="3344" width="9" style="3"/>
    <col min="3345" max="3345" width="7.44140625" style="3" bestFit="1" customWidth="1"/>
    <col min="3346" max="3350" width="9.109375" style="3" bestFit="1" customWidth="1"/>
    <col min="3351" max="3583" width="9" style="3"/>
    <col min="3584" max="3584" width="4.33203125" style="3" customWidth="1"/>
    <col min="3585" max="3585" width="4" style="3" customWidth="1"/>
    <col min="3586" max="3586" width="4.109375" style="3" customWidth="1"/>
    <col min="3587" max="3587" width="8" style="3" customWidth="1"/>
    <col min="3588" max="3589" width="8.109375" style="3" customWidth="1"/>
    <col min="3590" max="3590" width="9.109375" style="3" customWidth="1"/>
    <col min="3591" max="3591" width="9" style="3"/>
    <col min="3592" max="3592" width="6.44140625" style="3" customWidth="1"/>
    <col min="3593" max="3593" width="26.109375" style="3" customWidth="1"/>
    <col min="3594" max="3594" width="7.109375" style="3" customWidth="1"/>
    <col min="3595" max="3595" width="11.109375" style="3" customWidth="1"/>
    <col min="3596" max="3596" width="5.109375" style="3" bestFit="1" customWidth="1"/>
    <col min="3597" max="3600" width="9" style="3"/>
    <col min="3601" max="3601" width="7.44140625" style="3" bestFit="1" customWidth="1"/>
    <col min="3602" max="3606" width="9.109375" style="3" bestFit="1" customWidth="1"/>
    <col min="3607" max="3839" width="9" style="3"/>
    <col min="3840" max="3840" width="4.33203125" style="3" customWidth="1"/>
    <col min="3841" max="3841" width="4" style="3" customWidth="1"/>
    <col min="3842" max="3842" width="4.109375" style="3" customWidth="1"/>
    <col min="3843" max="3843" width="8" style="3" customWidth="1"/>
    <col min="3844" max="3845" width="8.109375" style="3" customWidth="1"/>
    <col min="3846" max="3846" width="9.109375" style="3" customWidth="1"/>
    <col min="3847" max="3847" width="9" style="3"/>
    <col min="3848" max="3848" width="6.44140625" style="3" customWidth="1"/>
    <col min="3849" max="3849" width="26.109375" style="3" customWidth="1"/>
    <col min="3850" max="3850" width="7.109375" style="3" customWidth="1"/>
    <col min="3851" max="3851" width="11.109375" style="3" customWidth="1"/>
    <col min="3852" max="3852" width="5.109375" style="3" bestFit="1" customWidth="1"/>
    <col min="3853" max="3856" width="9" style="3"/>
    <col min="3857" max="3857" width="7.44140625" style="3" bestFit="1" customWidth="1"/>
    <col min="3858" max="3862" width="9.109375" style="3" bestFit="1" customWidth="1"/>
    <col min="3863" max="4095" width="9" style="3"/>
    <col min="4096" max="4096" width="4.33203125" style="3" customWidth="1"/>
    <col min="4097" max="4097" width="4" style="3" customWidth="1"/>
    <col min="4098" max="4098" width="4.109375" style="3" customWidth="1"/>
    <col min="4099" max="4099" width="8" style="3" customWidth="1"/>
    <col min="4100" max="4101" width="8.109375" style="3" customWidth="1"/>
    <col min="4102" max="4102" width="9.109375" style="3" customWidth="1"/>
    <col min="4103" max="4103" width="9" style="3"/>
    <col min="4104" max="4104" width="6.44140625" style="3" customWidth="1"/>
    <col min="4105" max="4105" width="26.109375" style="3" customWidth="1"/>
    <col min="4106" max="4106" width="7.109375" style="3" customWidth="1"/>
    <col min="4107" max="4107" width="11.109375" style="3" customWidth="1"/>
    <col min="4108" max="4108" width="5.109375" style="3" bestFit="1" customWidth="1"/>
    <col min="4109" max="4112" width="9" style="3"/>
    <col min="4113" max="4113" width="7.44140625" style="3" bestFit="1" customWidth="1"/>
    <col min="4114" max="4118" width="9.109375" style="3" bestFit="1" customWidth="1"/>
    <col min="4119" max="4351" width="9" style="3"/>
    <col min="4352" max="4352" width="4.33203125" style="3" customWidth="1"/>
    <col min="4353" max="4353" width="4" style="3" customWidth="1"/>
    <col min="4354" max="4354" width="4.109375" style="3" customWidth="1"/>
    <col min="4355" max="4355" width="8" style="3" customWidth="1"/>
    <col min="4356" max="4357" width="8.109375" style="3" customWidth="1"/>
    <col min="4358" max="4358" width="9.109375" style="3" customWidth="1"/>
    <col min="4359" max="4359" width="9" style="3"/>
    <col min="4360" max="4360" width="6.44140625" style="3" customWidth="1"/>
    <col min="4361" max="4361" width="26.109375" style="3" customWidth="1"/>
    <col min="4362" max="4362" width="7.109375" style="3" customWidth="1"/>
    <col min="4363" max="4363" width="11.109375" style="3" customWidth="1"/>
    <col min="4364" max="4364" width="5.109375" style="3" bestFit="1" customWidth="1"/>
    <col min="4365" max="4368" width="9" style="3"/>
    <col min="4369" max="4369" width="7.44140625" style="3" bestFit="1" customWidth="1"/>
    <col min="4370" max="4374" width="9.109375" style="3" bestFit="1" customWidth="1"/>
    <col min="4375" max="4607" width="9" style="3"/>
    <col min="4608" max="4608" width="4.33203125" style="3" customWidth="1"/>
    <col min="4609" max="4609" width="4" style="3" customWidth="1"/>
    <col min="4610" max="4610" width="4.109375" style="3" customWidth="1"/>
    <col min="4611" max="4611" width="8" style="3" customWidth="1"/>
    <col min="4612" max="4613" width="8.109375" style="3" customWidth="1"/>
    <col min="4614" max="4614" width="9.109375" style="3" customWidth="1"/>
    <col min="4615" max="4615" width="9" style="3"/>
    <col min="4616" max="4616" width="6.44140625" style="3" customWidth="1"/>
    <col min="4617" max="4617" width="26.109375" style="3" customWidth="1"/>
    <col min="4618" max="4618" width="7.109375" style="3" customWidth="1"/>
    <col min="4619" max="4619" width="11.109375" style="3" customWidth="1"/>
    <col min="4620" max="4620" width="5.109375" style="3" bestFit="1" customWidth="1"/>
    <col min="4621" max="4624" width="9" style="3"/>
    <col min="4625" max="4625" width="7.44140625" style="3" bestFit="1" customWidth="1"/>
    <col min="4626" max="4630" width="9.109375" style="3" bestFit="1" customWidth="1"/>
    <col min="4631" max="4863" width="9" style="3"/>
    <col min="4864" max="4864" width="4.33203125" style="3" customWidth="1"/>
    <col min="4865" max="4865" width="4" style="3" customWidth="1"/>
    <col min="4866" max="4866" width="4.109375" style="3" customWidth="1"/>
    <col min="4867" max="4867" width="8" style="3" customWidth="1"/>
    <col min="4868" max="4869" width="8.109375" style="3" customWidth="1"/>
    <col min="4870" max="4870" width="9.109375" style="3" customWidth="1"/>
    <col min="4871" max="4871" width="9" style="3"/>
    <col min="4872" max="4872" width="6.44140625" style="3" customWidth="1"/>
    <col min="4873" max="4873" width="26.109375" style="3" customWidth="1"/>
    <col min="4874" max="4874" width="7.109375" style="3" customWidth="1"/>
    <col min="4875" max="4875" width="11.109375" style="3" customWidth="1"/>
    <col min="4876" max="4876" width="5.109375" style="3" bestFit="1" customWidth="1"/>
    <col min="4877" max="4880" width="9" style="3"/>
    <col min="4881" max="4881" width="7.44140625" style="3" bestFit="1" customWidth="1"/>
    <col min="4882" max="4886" width="9.109375" style="3" bestFit="1" customWidth="1"/>
    <col min="4887" max="5119" width="9" style="3"/>
    <col min="5120" max="5120" width="4.33203125" style="3" customWidth="1"/>
    <col min="5121" max="5121" width="4" style="3" customWidth="1"/>
    <col min="5122" max="5122" width="4.109375" style="3" customWidth="1"/>
    <col min="5123" max="5123" width="8" style="3" customWidth="1"/>
    <col min="5124" max="5125" width="8.109375" style="3" customWidth="1"/>
    <col min="5126" max="5126" width="9.109375" style="3" customWidth="1"/>
    <col min="5127" max="5127" width="9" style="3"/>
    <col min="5128" max="5128" width="6.44140625" style="3" customWidth="1"/>
    <col min="5129" max="5129" width="26.109375" style="3" customWidth="1"/>
    <col min="5130" max="5130" width="7.109375" style="3" customWidth="1"/>
    <col min="5131" max="5131" width="11.109375" style="3" customWidth="1"/>
    <col min="5132" max="5132" width="5.109375" style="3" bestFit="1" customWidth="1"/>
    <col min="5133" max="5136" width="9" style="3"/>
    <col min="5137" max="5137" width="7.44140625" style="3" bestFit="1" customWidth="1"/>
    <col min="5138" max="5142" width="9.109375" style="3" bestFit="1" customWidth="1"/>
    <col min="5143" max="5375" width="9" style="3"/>
    <col min="5376" max="5376" width="4.33203125" style="3" customWidth="1"/>
    <col min="5377" max="5377" width="4" style="3" customWidth="1"/>
    <col min="5378" max="5378" width="4.109375" style="3" customWidth="1"/>
    <col min="5379" max="5379" width="8" style="3" customWidth="1"/>
    <col min="5380" max="5381" width="8.109375" style="3" customWidth="1"/>
    <col min="5382" max="5382" width="9.109375" style="3" customWidth="1"/>
    <col min="5383" max="5383" width="9" style="3"/>
    <col min="5384" max="5384" width="6.44140625" style="3" customWidth="1"/>
    <col min="5385" max="5385" width="26.109375" style="3" customWidth="1"/>
    <col min="5386" max="5386" width="7.109375" style="3" customWidth="1"/>
    <col min="5387" max="5387" width="11.109375" style="3" customWidth="1"/>
    <col min="5388" max="5388" width="5.109375" style="3" bestFit="1" customWidth="1"/>
    <col min="5389" max="5392" width="9" style="3"/>
    <col min="5393" max="5393" width="7.44140625" style="3" bestFit="1" customWidth="1"/>
    <col min="5394" max="5398" width="9.109375" style="3" bestFit="1" customWidth="1"/>
    <col min="5399" max="5631" width="9" style="3"/>
    <col min="5632" max="5632" width="4.33203125" style="3" customWidth="1"/>
    <col min="5633" max="5633" width="4" style="3" customWidth="1"/>
    <col min="5634" max="5634" width="4.109375" style="3" customWidth="1"/>
    <col min="5635" max="5635" width="8" style="3" customWidth="1"/>
    <col min="5636" max="5637" width="8.109375" style="3" customWidth="1"/>
    <col min="5638" max="5638" width="9.109375" style="3" customWidth="1"/>
    <col min="5639" max="5639" width="9" style="3"/>
    <col min="5640" max="5640" width="6.44140625" style="3" customWidth="1"/>
    <col min="5641" max="5641" width="26.109375" style="3" customWidth="1"/>
    <col min="5642" max="5642" width="7.109375" style="3" customWidth="1"/>
    <col min="5643" max="5643" width="11.109375" style="3" customWidth="1"/>
    <col min="5644" max="5644" width="5.109375" style="3" bestFit="1" customWidth="1"/>
    <col min="5645" max="5648" width="9" style="3"/>
    <col min="5649" max="5649" width="7.44140625" style="3" bestFit="1" customWidth="1"/>
    <col min="5650" max="5654" width="9.109375" style="3" bestFit="1" customWidth="1"/>
    <col min="5655" max="5887" width="9" style="3"/>
    <col min="5888" max="5888" width="4.33203125" style="3" customWidth="1"/>
    <col min="5889" max="5889" width="4" style="3" customWidth="1"/>
    <col min="5890" max="5890" width="4.109375" style="3" customWidth="1"/>
    <col min="5891" max="5891" width="8" style="3" customWidth="1"/>
    <col min="5892" max="5893" width="8.109375" style="3" customWidth="1"/>
    <col min="5894" max="5894" width="9.109375" style="3" customWidth="1"/>
    <col min="5895" max="5895" width="9" style="3"/>
    <col min="5896" max="5896" width="6.44140625" style="3" customWidth="1"/>
    <col min="5897" max="5897" width="26.109375" style="3" customWidth="1"/>
    <col min="5898" max="5898" width="7.109375" style="3" customWidth="1"/>
    <col min="5899" max="5899" width="11.109375" style="3" customWidth="1"/>
    <col min="5900" max="5900" width="5.109375" style="3" bestFit="1" customWidth="1"/>
    <col min="5901" max="5904" width="9" style="3"/>
    <col min="5905" max="5905" width="7.44140625" style="3" bestFit="1" customWidth="1"/>
    <col min="5906" max="5910" width="9.109375" style="3" bestFit="1" customWidth="1"/>
    <col min="5911" max="6143" width="9" style="3"/>
    <col min="6144" max="6144" width="4.33203125" style="3" customWidth="1"/>
    <col min="6145" max="6145" width="4" style="3" customWidth="1"/>
    <col min="6146" max="6146" width="4.109375" style="3" customWidth="1"/>
    <col min="6147" max="6147" width="8" style="3" customWidth="1"/>
    <col min="6148" max="6149" width="8.109375" style="3" customWidth="1"/>
    <col min="6150" max="6150" width="9.109375" style="3" customWidth="1"/>
    <col min="6151" max="6151" width="9" style="3"/>
    <col min="6152" max="6152" width="6.44140625" style="3" customWidth="1"/>
    <col min="6153" max="6153" width="26.109375" style="3" customWidth="1"/>
    <col min="6154" max="6154" width="7.109375" style="3" customWidth="1"/>
    <col min="6155" max="6155" width="11.109375" style="3" customWidth="1"/>
    <col min="6156" max="6156" width="5.109375" style="3" bestFit="1" customWidth="1"/>
    <col min="6157" max="6160" width="9" style="3"/>
    <col min="6161" max="6161" width="7.44140625" style="3" bestFit="1" customWidth="1"/>
    <col min="6162" max="6166" width="9.109375" style="3" bestFit="1" customWidth="1"/>
    <col min="6167" max="6399" width="9" style="3"/>
    <col min="6400" max="6400" width="4.33203125" style="3" customWidth="1"/>
    <col min="6401" max="6401" width="4" style="3" customWidth="1"/>
    <col min="6402" max="6402" width="4.109375" style="3" customWidth="1"/>
    <col min="6403" max="6403" width="8" style="3" customWidth="1"/>
    <col min="6404" max="6405" width="8.109375" style="3" customWidth="1"/>
    <col min="6406" max="6406" width="9.109375" style="3" customWidth="1"/>
    <col min="6407" max="6407" width="9" style="3"/>
    <col min="6408" max="6408" width="6.44140625" style="3" customWidth="1"/>
    <col min="6409" max="6409" width="26.109375" style="3" customWidth="1"/>
    <col min="6410" max="6410" width="7.109375" style="3" customWidth="1"/>
    <col min="6411" max="6411" width="11.109375" style="3" customWidth="1"/>
    <col min="6412" max="6412" width="5.109375" style="3" bestFit="1" customWidth="1"/>
    <col min="6413" max="6416" width="9" style="3"/>
    <col min="6417" max="6417" width="7.44140625" style="3" bestFit="1" customWidth="1"/>
    <col min="6418" max="6422" width="9.109375" style="3" bestFit="1" customWidth="1"/>
    <col min="6423" max="6655" width="9" style="3"/>
    <col min="6656" max="6656" width="4.33203125" style="3" customWidth="1"/>
    <col min="6657" max="6657" width="4" style="3" customWidth="1"/>
    <col min="6658" max="6658" width="4.109375" style="3" customWidth="1"/>
    <col min="6659" max="6659" width="8" style="3" customWidth="1"/>
    <col min="6660" max="6661" width="8.109375" style="3" customWidth="1"/>
    <col min="6662" max="6662" width="9.109375" style="3" customWidth="1"/>
    <col min="6663" max="6663" width="9" style="3"/>
    <col min="6664" max="6664" width="6.44140625" style="3" customWidth="1"/>
    <col min="6665" max="6665" width="26.109375" style="3" customWidth="1"/>
    <col min="6666" max="6666" width="7.109375" style="3" customWidth="1"/>
    <col min="6667" max="6667" width="11.109375" style="3" customWidth="1"/>
    <col min="6668" max="6668" width="5.109375" style="3" bestFit="1" customWidth="1"/>
    <col min="6669" max="6672" width="9" style="3"/>
    <col min="6673" max="6673" width="7.44140625" style="3" bestFit="1" customWidth="1"/>
    <col min="6674" max="6678" width="9.109375" style="3" bestFit="1" customWidth="1"/>
    <col min="6679" max="6911" width="9" style="3"/>
    <col min="6912" max="6912" width="4.33203125" style="3" customWidth="1"/>
    <col min="6913" max="6913" width="4" style="3" customWidth="1"/>
    <col min="6914" max="6914" width="4.109375" style="3" customWidth="1"/>
    <col min="6915" max="6915" width="8" style="3" customWidth="1"/>
    <col min="6916" max="6917" width="8.109375" style="3" customWidth="1"/>
    <col min="6918" max="6918" width="9.109375" style="3" customWidth="1"/>
    <col min="6919" max="6919" width="9" style="3"/>
    <col min="6920" max="6920" width="6.44140625" style="3" customWidth="1"/>
    <col min="6921" max="6921" width="26.109375" style="3" customWidth="1"/>
    <col min="6922" max="6922" width="7.109375" style="3" customWidth="1"/>
    <col min="6923" max="6923" width="11.109375" style="3" customWidth="1"/>
    <col min="6924" max="6924" width="5.109375" style="3" bestFit="1" customWidth="1"/>
    <col min="6925" max="6928" width="9" style="3"/>
    <col min="6929" max="6929" width="7.44140625" style="3" bestFit="1" customWidth="1"/>
    <col min="6930" max="6934" width="9.109375" style="3" bestFit="1" customWidth="1"/>
    <col min="6935" max="7167" width="9" style="3"/>
    <col min="7168" max="7168" width="4.33203125" style="3" customWidth="1"/>
    <col min="7169" max="7169" width="4" style="3" customWidth="1"/>
    <col min="7170" max="7170" width="4.109375" style="3" customWidth="1"/>
    <col min="7171" max="7171" width="8" style="3" customWidth="1"/>
    <col min="7172" max="7173" width="8.109375" style="3" customWidth="1"/>
    <col min="7174" max="7174" width="9.109375" style="3" customWidth="1"/>
    <col min="7175" max="7175" width="9" style="3"/>
    <col min="7176" max="7176" width="6.44140625" style="3" customWidth="1"/>
    <col min="7177" max="7177" width="26.109375" style="3" customWidth="1"/>
    <col min="7178" max="7178" width="7.109375" style="3" customWidth="1"/>
    <col min="7179" max="7179" width="11.109375" style="3" customWidth="1"/>
    <col min="7180" max="7180" width="5.109375" style="3" bestFit="1" customWidth="1"/>
    <col min="7181" max="7184" width="9" style="3"/>
    <col min="7185" max="7185" width="7.44140625" style="3" bestFit="1" customWidth="1"/>
    <col min="7186" max="7190" width="9.109375" style="3" bestFit="1" customWidth="1"/>
    <col min="7191" max="7423" width="9" style="3"/>
    <col min="7424" max="7424" width="4.33203125" style="3" customWidth="1"/>
    <col min="7425" max="7425" width="4" style="3" customWidth="1"/>
    <col min="7426" max="7426" width="4.109375" style="3" customWidth="1"/>
    <col min="7427" max="7427" width="8" style="3" customWidth="1"/>
    <col min="7428" max="7429" width="8.109375" style="3" customWidth="1"/>
    <col min="7430" max="7430" width="9.109375" style="3" customWidth="1"/>
    <col min="7431" max="7431" width="9" style="3"/>
    <col min="7432" max="7432" width="6.44140625" style="3" customWidth="1"/>
    <col min="7433" max="7433" width="26.109375" style="3" customWidth="1"/>
    <col min="7434" max="7434" width="7.109375" style="3" customWidth="1"/>
    <col min="7435" max="7435" width="11.109375" style="3" customWidth="1"/>
    <col min="7436" max="7436" width="5.109375" style="3" bestFit="1" customWidth="1"/>
    <col min="7437" max="7440" width="9" style="3"/>
    <col min="7441" max="7441" width="7.44140625" style="3" bestFit="1" customWidth="1"/>
    <col min="7442" max="7446" width="9.109375" style="3" bestFit="1" customWidth="1"/>
    <col min="7447" max="7679" width="9" style="3"/>
    <col min="7680" max="7680" width="4.33203125" style="3" customWidth="1"/>
    <col min="7681" max="7681" width="4" style="3" customWidth="1"/>
    <col min="7682" max="7682" width="4.109375" style="3" customWidth="1"/>
    <col min="7683" max="7683" width="8" style="3" customWidth="1"/>
    <col min="7684" max="7685" width="8.109375" style="3" customWidth="1"/>
    <col min="7686" max="7686" width="9.109375" style="3" customWidth="1"/>
    <col min="7687" max="7687" width="9" style="3"/>
    <col min="7688" max="7688" width="6.44140625" style="3" customWidth="1"/>
    <col min="7689" max="7689" width="26.109375" style="3" customWidth="1"/>
    <col min="7690" max="7690" width="7.109375" style="3" customWidth="1"/>
    <col min="7691" max="7691" width="11.109375" style="3" customWidth="1"/>
    <col min="7692" max="7692" width="5.109375" style="3" bestFit="1" customWidth="1"/>
    <col min="7693" max="7696" width="9" style="3"/>
    <col min="7697" max="7697" width="7.44140625" style="3" bestFit="1" customWidth="1"/>
    <col min="7698" max="7702" width="9.109375" style="3" bestFit="1" customWidth="1"/>
    <col min="7703" max="7935" width="9" style="3"/>
    <col min="7936" max="7936" width="4.33203125" style="3" customWidth="1"/>
    <col min="7937" max="7937" width="4" style="3" customWidth="1"/>
    <col min="7938" max="7938" width="4.109375" style="3" customWidth="1"/>
    <col min="7939" max="7939" width="8" style="3" customWidth="1"/>
    <col min="7940" max="7941" width="8.109375" style="3" customWidth="1"/>
    <col min="7942" max="7942" width="9.109375" style="3" customWidth="1"/>
    <col min="7943" max="7943" width="9" style="3"/>
    <col min="7944" max="7944" width="6.44140625" style="3" customWidth="1"/>
    <col min="7945" max="7945" width="26.109375" style="3" customWidth="1"/>
    <col min="7946" max="7946" width="7.109375" style="3" customWidth="1"/>
    <col min="7947" max="7947" width="11.109375" style="3" customWidth="1"/>
    <col min="7948" max="7948" width="5.109375" style="3" bestFit="1" customWidth="1"/>
    <col min="7949" max="7952" width="9" style="3"/>
    <col min="7953" max="7953" width="7.44140625" style="3" bestFit="1" customWidth="1"/>
    <col min="7954" max="7958" width="9.109375" style="3" bestFit="1" customWidth="1"/>
    <col min="7959" max="8191" width="9" style="3"/>
    <col min="8192" max="8192" width="4.33203125" style="3" customWidth="1"/>
    <col min="8193" max="8193" width="4" style="3" customWidth="1"/>
    <col min="8194" max="8194" width="4.109375" style="3" customWidth="1"/>
    <col min="8195" max="8195" width="8" style="3" customWidth="1"/>
    <col min="8196" max="8197" width="8.109375" style="3" customWidth="1"/>
    <col min="8198" max="8198" width="9.109375" style="3" customWidth="1"/>
    <col min="8199" max="8199" width="9" style="3"/>
    <col min="8200" max="8200" width="6.44140625" style="3" customWidth="1"/>
    <col min="8201" max="8201" width="26.109375" style="3" customWidth="1"/>
    <col min="8202" max="8202" width="7.109375" style="3" customWidth="1"/>
    <col min="8203" max="8203" width="11.109375" style="3" customWidth="1"/>
    <col min="8204" max="8204" width="5.109375" style="3" bestFit="1" customWidth="1"/>
    <col min="8205" max="8208" width="9" style="3"/>
    <col min="8209" max="8209" width="7.44140625" style="3" bestFit="1" customWidth="1"/>
    <col min="8210" max="8214" width="9.109375" style="3" bestFit="1" customWidth="1"/>
    <col min="8215" max="8447" width="9" style="3"/>
    <col min="8448" max="8448" width="4.33203125" style="3" customWidth="1"/>
    <col min="8449" max="8449" width="4" style="3" customWidth="1"/>
    <col min="8450" max="8450" width="4.109375" style="3" customWidth="1"/>
    <col min="8451" max="8451" width="8" style="3" customWidth="1"/>
    <col min="8452" max="8453" width="8.109375" style="3" customWidth="1"/>
    <col min="8454" max="8454" width="9.109375" style="3" customWidth="1"/>
    <col min="8455" max="8455" width="9" style="3"/>
    <col min="8456" max="8456" width="6.44140625" style="3" customWidth="1"/>
    <col min="8457" max="8457" width="26.109375" style="3" customWidth="1"/>
    <col min="8458" max="8458" width="7.109375" style="3" customWidth="1"/>
    <col min="8459" max="8459" width="11.109375" style="3" customWidth="1"/>
    <col min="8460" max="8460" width="5.109375" style="3" bestFit="1" customWidth="1"/>
    <col min="8461" max="8464" width="9" style="3"/>
    <col min="8465" max="8465" width="7.44140625" style="3" bestFit="1" customWidth="1"/>
    <col min="8466" max="8470" width="9.109375" style="3" bestFit="1" customWidth="1"/>
    <col min="8471" max="8703" width="9" style="3"/>
    <col min="8704" max="8704" width="4.33203125" style="3" customWidth="1"/>
    <col min="8705" max="8705" width="4" style="3" customWidth="1"/>
    <col min="8706" max="8706" width="4.109375" style="3" customWidth="1"/>
    <col min="8707" max="8707" width="8" style="3" customWidth="1"/>
    <col min="8708" max="8709" width="8.109375" style="3" customWidth="1"/>
    <col min="8710" max="8710" width="9.109375" style="3" customWidth="1"/>
    <col min="8711" max="8711" width="9" style="3"/>
    <col min="8712" max="8712" width="6.44140625" style="3" customWidth="1"/>
    <col min="8713" max="8713" width="26.109375" style="3" customWidth="1"/>
    <col min="8714" max="8714" width="7.109375" style="3" customWidth="1"/>
    <col min="8715" max="8715" width="11.109375" style="3" customWidth="1"/>
    <col min="8716" max="8716" width="5.109375" style="3" bestFit="1" customWidth="1"/>
    <col min="8717" max="8720" width="9" style="3"/>
    <col min="8721" max="8721" width="7.44140625" style="3" bestFit="1" customWidth="1"/>
    <col min="8722" max="8726" width="9.109375" style="3" bestFit="1" customWidth="1"/>
    <col min="8727" max="8959" width="9" style="3"/>
    <col min="8960" max="8960" width="4.33203125" style="3" customWidth="1"/>
    <col min="8961" max="8961" width="4" style="3" customWidth="1"/>
    <col min="8962" max="8962" width="4.109375" style="3" customWidth="1"/>
    <col min="8963" max="8963" width="8" style="3" customWidth="1"/>
    <col min="8964" max="8965" width="8.109375" style="3" customWidth="1"/>
    <col min="8966" max="8966" width="9.109375" style="3" customWidth="1"/>
    <col min="8967" max="8967" width="9" style="3"/>
    <col min="8968" max="8968" width="6.44140625" style="3" customWidth="1"/>
    <col min="8969" max="8969" width="26.109375" style="3" customWidth="1"/>
    <col min="8970" max="8970" width="7.109375" style="3" customWidth="1"/>
    <col min="8971" max="8971" width="11.109375" style="3" customWidth="1"/>
    <col min="8972" max="8972" width="5.109375" style="3" bestFit="1" customWidth="1"/>
    <col min="8973" max="8976" width="9" style="3"/>
    <col min="8977" max="8977" width="7.44140625" style="3" bestFit="1" customWidth="1"/>
    <col min="8978" max="8982" width="9.109375" style="3" bestFit="1" customWidth="1"/>
    <col min="8983" max="9215" width="9" style="3"/>
    <col min="9216" max="9216" width="4.33203125" style="3" customWidth="1"/>
    <col min="9217" max="9217" width="4" style="3" customWidth="1"/>
    <col min="9218" max="9218" width="4.109375" style="3" customWidth="1"/>
    <col min="9219" max="9219" width="8" style="3" customWidth="1"/>
    <col min="9220" max="9221" width="8.109375" style="3" customWidth="1"/>
    <col min="9222" max="9222" width="9.109375" style="3" customWidth="1"/>
    <col min="9223" max="9223" width="9" style="3"/>
    <col min="9224" max="9224" width="6.44140625" style="3" customWidth="1"/>
    <col min="9225" max="9225" width="26.109375" style="3" customWidth="1"/>
    <col min="9226" max="9226" width="7.109375" style="3" customWidth="1"/>
    <col min="9227" max="9227" width="11.109375" style="3" customWidth="1"/>
    <col min="9228" max="9228" width="5.109375" style="3" bestFit="1" customWidth="1"/>
    <col min="9229" max="9232" width="9" style="3"/>
    <col min="9233" max="9233" width="7.44140625" style="3" bestFit="1" customWidth="1"/>
    <col min="9234" max="9238" width="9.109375" style="3" bestFit="1" customWidth="1"/>
    <col min="9239" max="9471" width="9" style="3"/>
    <col min="9472" max="9472" width="4.33203125" style="3" customWidth="1"/>
    <col min="9473" max="9473" width="4" style="3" customWidth="1"/>
    <col min="9474" max="9474" width="4.109375" style="3" customWidth="1"/>
    <col min="9475" max="9475" width="8" style="3" customWidth="1"/>
    <col min="9476" max="9477" width="8.109375" style="3" customWidth="1"/>
    <col min="9478" max="9478" width="9.109375" style="3" customWidth="1"/>
    <col min="9479" max="9479" width="9" style="3"/>
    <col min="9480" max="9480" width="6.44140625" style="3" customWidth="1"/>
    <col min="9481" max="9481" width="26.109375" style="3" customWidth="1"/>
    <col min="9482" max="9482" width="7.109375" style="3" customWidth="1"/>
    <col min="9483" max="9483" width="11.109375" style="3" customWidth="1"/>
    <col min="9484" max="9484" width="5.109375" style="3" bestFit="1" customWidth="1"/>
    <col min="9485" max="9488" width="9" style="3"/>
    <col min="9489" max="9489" width="7.44140625" style="3" bestFit="1" customWidth="1"/>
    <col min="9490" max="9494" width="9.109375" style="3" bestFit="1" customWidth="1"/>
    <col min="9495" max="9727" width="9" style="3"/>
    <col min="9728" max="9728" width="4.33203125" style="3" customWidth="1"/>
    <col min="9729" max="9729" width="4" style="3" customWidth="1"/>
    <col min="9730" max="9730" width="4.109375" style="3" customWidth="1"/>
    <col min="9731" max="9731" width="8" style="3" customWidth="1"/>
    <col min="9732" max="9733" width="8.109375" style="3" customWidth="1"/>
    <col min="9734" max="9734" width="9.109375" style="3" customWidth="1"/>
    <col min="9735" max="9735" width="9" style="3"/>
    <col min="9736" max="9736" width="6.44140625" style="3" customWidth="1"/>
    <col min="9737" max="9737" width="26.109375" style="3" customWidth="1"/>
    <col min="9738" max="9738" width="7.109375" style="3" customWidth="1"/>
    <col min="9739" max="9739" width="11.109375" style="3" customWidth="1"/>
    <col min="9740" max="9740" width="5.109375" style="3" bestFit="1" customWidth="1"/>
    <col min="9741" max="9744" width="9" style="3"/>
    <col min="9745" max="9745" width="7.44140625" style="3" bestFit="1" customWidth="1"/>
    <col min="9746" max="9750" width="9.109375" style="3" bestFit="1" customWidth="1"/>
    <col min="9751" max="9983" width="9" style="3"/>
    <col min="9984" max="9984" width="4.33203125" style="3" customWidth="1"/>
    <col min="9985" max="9985" width="4" style="3" customWidth="1"/>
    <col min="9986" max="9986" width="4.109375" style="3" customWidth="1"/>
    <col min="9987" max="9987" width="8" style="3" customWidth="1"/>
    <col min="9988" max="9989" width="8.109375" style="3" customWidth="1"/>
    <col min="9990" max="9990" width="9.109375" style="3" customWidth="1"/>
    <col min="9991" max="9991" width="9" style="3"/>
    <col min="9992" max="9992" width="6.44140625" style="3" customWidth="1"/>
    <col min="9993" max="9993" width="26.109375" style="3" customWidth="1"/>
    <col min="9994" max="9994" width="7.109375" style="3" customWidth="1"/>
    <col min="9995" max="9995" width="11.109375" style="3" customWidth="1"/>
    <col min="9996" max="9996" width="5.109375" style="3" bestFit="1" customWidth="1"/>
    <col min="9997" max="10000" width="9" style="3"/>
    <col min="10001" max="10001" width="7.44140625" style="3" bestFit="1" customWidth="1"/>
    <col min="10002" max="10006" width="9.109375" style="3" bestFit="1" customWidth="1"/>
    <col min="10007" max="10239" width="9" style="3"/>
    <col min="10240" max="10240" width="4.33203125" style="3" customWidth="1"/>
    <col min="10241" max="10241" width="4" style="3" customWidth="1"/>
    <col min="10242" max="10242" width="4.109375" style="3" customWidth="1"/>
    <col min="10243" max="10243" width="8" style="3" customWidth="1"/>
    <col min="10244" max="10245" width="8.109375" style="3" customWidth="1"/>
    <col min="10246" max="10246" width="9.109375" style="3" customWidth="1"/>
    <col min="10247" max="10247" width="9" style="3"/>
    <col min="10248" max="10248" width="6.44140625" style="3" customWidth="1"/>
    <col min="10249" max="10249" width="26.109375" style="3" customWidth="1"/>
    <col min="10250" max="10250" width="7.109375" style="3" customWidth="1"/>
    <col min="10251" max="10251" width="11.109375" style="3" customWidth="1"/>
    <col min="10252" max="10252" width="5.109375" style="3" bestFit="1" customWidth="1"/>
    <col min="10253" max="10256" width="9" style="3"/>
    <col min="10257" max="10257" width="7.44140625" style="3" bestFit="1" customWidth="1"/>
    <col min="10258" max="10262" width="9.109375" style="3" bestFit="1" customWidth="1"/>
    <col min="10263" max="10495" width="9" style="3"/>
    <col min="10496" max="10496" width="4.33203125" style="3" customWidth="1"/>
    <col min="10497" max="10497" width="4" style="3" customWidth="1"/>
    <col min="10498" max="10498" width="4.109375" style="3" customWidth="1"/>
    <col min="10499" max="10499" width="8" style="3" customWidth="1"/>
    <col min="10500" max="10501" width="8.109375" style="3" customWidth="1"/>
    <col min="10502" max="10502" width="9.109375" style="3" customWidth="1"/>
    <col min="10503" max="10503" width="9" style="3"/>
    <col min="10504" max="10504" width="6.44140625" style="3" customWidth="1"/>
    <col min="10505" max="10505" width="26.109375" style="3" customWidth="1"/>
    <col min="10506" max="10506" width="7.109375" style="3" customWidth="1"/>
    <col min="10507" max="10507" width="11.109375" style="3" customWidth="1"/>
    <col min="10508" max="10508" width="5.109375" style="3" bestFit="1" customWidth="1"/>
    <col min="10509" max="10512" width="9" style="3"/>
    <col min="10513" max="10513" width="7.44140625" style="3" bestFit="1" customWidth="1"/>
    <col min="10514" max="10518" width="9.109375" style="3" bestFit="1" customWidth="1"/>
    <col min="10519" max="10751" width="9" style="3"/>
    <col min="10752" max="10752" width="4.33203125" style="3" customWidth="1"/>
    <col min="10753" max="10753" width="4" style="3" customWidth="1"/>
    <col min="10754" max="10754" width="4.109375" style="3" customWidth="1"/>
    <col min="10755" max="10755" width="8" style="3" customWidth="1"/>
    <col min="10756" max="10757" width="8.109375" style="3" customWidth="1"/>
    <col min="10758" max="10758" width="9.109375" style="3" customWidth="1"/>
    <col min="10759" max="10759" width="9" style="3"/>
    <col min="10760" max="10760" width="6.44140625" style="3" customWidth="1"/>
    <col min="10761" max="10761" width="26.109375" style="3" customWidth="1"/>
    <col min="10762" max="10762" width="7.109375" style="3" customWidth="1"/>
    <col min="10763" max="10763" width="11.109375" style="3" customWidth="1"/>
    <col min="10764" max="10764" width="5.109375" style="3" bestFit="1" customWidth="1"/>
    <col min="10765" max="10768" width="9" style="3"/>
    <col min="10769" max="10769" width="7.44140625" style="3" bestFit="1" customWidth="1"/>
    <col min="10770" max="10774" width="9.109375" style="3" bestFit="1" customWidth="1"/>
    <col min="10775" max="11007" width="9" style="3"/>
    <col min="11008" max="11008" width="4.33203125" style="3" customWidth="1"/>
    <col min="11009" max="11009" width="4" style="3" customWidth="1"/>
    <col min="11010" max="11010" width="4.109375" style="3" customWidth="1"/>
    <col min="11011" max="11011" width="8" style="3" customWidth="1"/>
    <col min="11012" max="11013" width="8.109375" style="3" customWidth="1"/>
    <col min="11014" max="11014" width="9.109375" style="3" customWidth="1"/>
    <col min="11015" max="11015" width="9" style="3"/>
    <col min="11016" max="11016" width="6.44140625" style="3" customWidth="1"/>
    <col min="11017" max="11017" width="26.109375" style="3" customWidth="1"/>
    <col min="11018" max="11018" width="7.109375" style="3" customWidth="1"/>
    <col min="11019" max="11019" width="11.109375" style="3" customWidth="1"/>
    <col min="11020" max="11020" width="5.109375" style="3" bestFit="1" customWidth="1"/>
    <col min="11021" max="11024" width="9" style="3"/>
    <col min="11025" max="11025" width="7.44140625" style="3" bestFit="1" customWidth="1"/>
    <col min="11026" max="11030" width="9.109375" style="3" bestFit="1" customWidth="1"/>
    <col min="11031" max="11263" width="9" style="3"/>
    <col min="11264" max="11264" width="4.33203125" style="3" customWidth="1"/>
    <col min="11265" max="11265" width="4" style="3" customWidth="1"/>
    <col min="11266" max="11266" width="4.109375" style="3" customWidth="1"/>
    <col min="11267" max="11267" width="8" style="3" customWidth="1"/>
    <col min="11268" max="11269" width="8.109375" style="3" customWidth="1"/>
    <col min="11270" max="11270" width="9.109375" style="3" customWidth="1"/>
    <col min="11271" max="11271" width="9" style="3"/>
    <col min="11272" max="11272" width="6.44140625" style="3" customWidth="1"/>
    <col min="11273" max="11273" width="26.109375" style="3" customWidth="1"/>
    <col min="11274" max="11274" width="7.109375" style="3" customWidth="1"/>
    <col min="11275" max="11275" width="11.109375" style="3" customWidth="1"/>
    <col min="11276" max="11276" width="5.109375" style="3" bestFit="1" customWidth="1"/>
    <col min="11277" max="11280" width="9" style="3"/>
    <col min="11281" max="11281" width="7.44140625" style="3" bestFit="1" customWidth="1"/>
    <col min="11282" max="11286" width="9.109375" style="3" bestFit="1" customWidth="1"/>
    <col min="11287" max="11519" width="9" style="3"/>
    <col min="11520" max="11520" width="4.33203125" style="3" customWidth="1"/>
    <col min="11521" max="11521" width="4" style="3" customWidth="1"/>
    <col min="11522" max="11522" width="4.109375" style="3" customWidth="1"/>
    <col min="11523" max="11523" width="8" style="3" customWidth="1"/>
    <col min="11524" max="11525" width="8.109375" style="3" customWidth="1"/>
    <col min="11526" max="11526" width="9.109375" style="3" customWidth="1"/>
    <col min="11527" max="11527" width="9" style="3"/>
    <col min="11528" max="11528" width="6.44140625" style="3" customWidth="1"/>
    <col min="11529" max="11529" width="26.109375" style="3" customWidth="1"/>
    <col min="11530" max="11530" width="7.109375" style="3" customWidth="1"/>
    <col min="11531" max="11531" width="11.109375" style="3" customWidth="1"/>
    <col min="11532" max="11532" width="5.109375" style="3" bestFit="1" customWidth="1"/>
    <col min="11533" max="11536" width="9" style="3"/>
    <col min="11537" max="11537" width="7.44140625" style="3" bestFit="1" customWidth="1"/>
    <col min="11538" max="11542" width="9.109375" style="3" bestFit="1" customWidth="1"/>
    <col min="11543" max="11775" width="9" style="3"/>
    <col min="11776" max="11776" width="4.33203125" style="3" customWidth="1"/>
    <col min="11777" max="11777" width="4" style="3" customWidth="1"/>
    <col min="11778" max="11778" width="4.109375" style="3" customWidth="1"/>
    <col min="11779" max="11779" width="8" style="3" customWidth="1"/>
    <col min="11780" max="11781" width="8.109375" style="3" customWidth="1"/>
    <col min="11782" max="11782" width="9.109375" style="3" customWidth="1"/>
    <col min="11783" max="11783" width="9" style="3"/>
    <col min="11784" max="11784" width="6.44140625" style="3" customWidth="1"/>
    <col min="11785" max="11785" width="26.109375" style="3" customWidth="1"/>
    <col min="11786" max="11786" width="7.109375" style="3" customWidth="1"/>
    <col min="11787" max="11787" width="11.109375" style="3" customWidth="1"/>
    <col min="11788" max="11788" width="5.109375" style="3" bestFit="1" customWidth="1"/>
    <col min="11789" max="11792" width="9" style="3"/>
    <col min="11793" max="11793" width="7.44140625" style="3" bestFit="1" customWidth="1"/>
    <col min="11794" max="11798" width="9.109375" style="3" bestFit="1" customWidth="1"/>
    <col min="11799" max="12031" width="9" style="3"/>
    <col min="12032" max="12032" width="4.33203125" style="3" customWidth="1"/>
    <col min="12033" max="12033" width="4" style="3" customWidth="1"/>
    <col min="12034" max="12034" width="4.109375" style="3" customWidth="1"/>
    <col min="12035" max="12035" width="8" style="3" customWidth="1"/>
    <col min="12036" max="12037" width="8.109375" style="3" customWidth="1"/>
    <col min="12038" max="12038" width="9.109375" style="3" customWidth="1"/>
    <col min="12039" max="12039" width="9" style="3"/>
    <col min="12040" max="12040" width="6.44140625" style="3" customWidth="1"/>
    <col min="12041" max="12041" width="26.109375" style="3" customWidth="1"/>
    <col min="12042" max="12042" width="7.109375" style="3" customWidth="1"/>
    <col min="12043" max="12043" width="11.109375" style="3" customWidth="1"/>
    <col min="12044" max="12044" width="5.109375" style="3" bestFit="1" customWidth="1"/>
    <col min="12045" max="12048" width="9" style="3"/>
    <col min="12049" max="12049" width="7.44140625" style="3" bestFit="1" customWidth="1"/>
    <col min="12050" max="12054" width="9.109375" style="3" bestFit="1" customWidth="1"/>
    <col min="12055" max="12287" width="9" style="3"/>
    <col min="12288" max="12288" width="4.33203125" style="3" customWidth="1"/>
    <col min="12289" max="12289" width="4" style="3" customWidth="1"/>
    <col min="12290" max="12290" width="4.109375" style="3" customWidth="1"/>
    <col min="12291" max="12291" width="8" style="3" customWidth="1"/>
    <col min="12292" max="12293" width="8.109375" style="3" customWidth="1"/>
    <col min="12294" max="12294" width="9.109375" style="3" customWidth="1"/>
    <col min="12295" max="12295" width="9" style="3"/>
    <col min="12296" max="12296" width="6.44140625" style="3" customWidth="1"/>
    <col min="12297" max="12297" width="26.109375" style="3" customWidth="1"/>
    <col min="12298" max="12298" width="7.109375" style="3" customWidth="1"/>
    <col min="12299" max="12299" width="11.109375" style="3" customWidth="1"/>
    <col min="12300" max="12300" width="5.109375" style="3" bestFit="1" customWidth="1"/>
    <col min="12301" max="12304" width="9" style="3"/>
    <col min="12305" max="12305" width="7.44140625" style="3" bestFit="1" customWidth="1"/>
    <col min="12306" max="12310" width="9.109375" style="3" bestFit="1" customWidth="1"/>
    <col min="12311" max="12543" width="9" style="3"/>
    <col min="12544" max="12544" width="4.33203125" style="3" customWidth="1"/>
    <col min="12545" max="12545" width="4" style="3" customWidth="1"/>
    <col min="12546" max="12546" width="4.109375" style="3" customWidth="1"/>
    <col min="12547" max="12547" width="8" style="3" customWidth="1"/>
    <col min="12548" max="12549" width="8.109375" style="3" customWidth="1"/>
    <col min="12550" max="12550" width="9.109375" style="3" customWidth="1"/>
    <col min="12551" max="12551" width="9" style="3"/>
    <col min="12552" max="12552" width="6.44140625" style="3" customWidth="1"/>
    <col min="12553" max="12553" width="26.109375" style="3" customWidth="1"/>
    <col min="12554" max="12554" width="7.109375" style="3" customWidth="1"/>
    <col min="12555" max="12555" width="11.109375" style="3" customWidth="1"/>
    <col min="12556" max="12556" width="5.109375" style="3" bestFit="1" customWidth="1"/>
    <col min="12557" max="12560" width="9" style="3"/>
    <col min="12561" max="12561" width="7.44140625" style="3" bestFit="1" customWidth="1"/>
    <col min="12562" max="12566" width="9.109375" style="3" bestFit="1" customWidth="1"/>
    <col min="12567" max="12799" width="9" style="3"/>
    <col min="12800" max="12800" width="4.33203125" style="3" customWidth="1"/>
    <col min="12801" max="12801" width="4" style="3" customWidth="1"/>
    <col min="12802" max="12802" width="4.109375" style="3" customWidth="1"/>
    <col min="12803" max="12803" width="8" style="3" customWidth="1"/>
    <col min="12804" max="12805" width="8.109375" style="3" customWidth="1"/>
    <col min="12806" max="12806" width="9.109375" style="3" customWidth="1"/>
    <col min="12807" max="12807" width="9" style="3"/>
    <col min="12808" max="12808" width="6.44140625" style="3" customWidth="1"/>
    <col min="12809" max="12809" width="26.109375" style="3" customWidth="1"/>
    <col min="12810" max="12810" width="7.109375" style="3" customWidth="1"/>
    <col min="12811" max="12811" width="11.109375" style="3" customWidth="1"/>
    <col min="12812" max="12812" width="5.109375" style="3" bestFit="1" customWidth="1"/>
    <col min="12813" max="12816" width="9" style="3"/>
    <col min="12817" max="12817" width="7.44140625" style="3" bestFit="1" customWidth="1"/>
    <col min="12818" max="12822" width="9.109375" style="3" bestFit="1" customWidth="1"/>
    <col min="12823" max="13055" width="9" style="3"/>
    <col min="13056" max="13056" width="4.33203125" style="3" customWidth="1"/>
    <col min="13057" max="13057" width="4" style="3" customWidth="1"/>
    <col min="13058" max="13058" width="4.109375" style="3" customWidth="1"/>
    <col min="13059" max="13059" width="8" style="3" customWidth="1"/>
    <col min="13060" max="13061" width="8.109375" style="3" customWidth="1"/>
    <col min="13062" max="13062" width="9.109375" style="3" customWidth="1"/>
    <col min="13063" max="13063" width="9" style="3"/>
    <col min="13064" max="13064" width="6.44140625" style="3" customWidth="1"/>
    <col min="13065" max="13065" width="26.109375" style="3" customWidth="1"/>
    <col min="13066" max="13066" width="7.109375" style="3" customWidth="1"/>
    <col min="13067" max="13067" width="11.109375" style="3" customWidth="1"/>
    <col min="13068" max="13068" width="5.109375" style="3" bestFit="1" customWidth="1"/>
    <col min="13069" max="13072" width="9" style="3"/>
    <col min="13073" max="13073" width="7.44140625" style="3" bestFit="1" customWidth="1"/>
    <col min="13074" max="13078" width="9.109375" style="3" bestFit="1" customWidth="1"/>
    <col min="13079" max="13311" width="9" style="3"/>
    <col min="13312" max="13312" width="4.33203125" style="3" customWidth="1"/>
    <col min="13313" max="13313" width="4" style="3" customWidth="1"/>
    <col min="13314" max="13314" width="4.109375" style="3" customWidth="1"/>
    <col min="13315" max="13315" width="8" style="3" customWidth="1"/>
    <col min="13316" max="13317" width="8.109375" style="3" customWidth="1"/>
    <col min="13318" max="13318" width="9.109375" style="3" customWidth="1"/>
    <col min="13319" max="13319" width="9" style="3"/>
    <col min="13320" max="13320" width="6.44140625" style="3" customWidth="1"/>
    <col min="13321" max="13321" width="26.109375" style="3" customWidth="1"/>
    <col min="13322" max="13322" width="7.109375" style="3" customWidth="1"/>
    <col min="13323" max="13323" width="11.109375" style="3" customWidth="1"/>
    <col min="13324" max="13324" width="5.109375" style="3" bestFit="1" customWidth="1"/>
    <col min="13325" max="13328" width="9" style="3"/>
    <col min="13329" max="13329" width="7.44140625" style="3" bestFit="1" customWidth="1"/>
    <col min="13330" max="13334" width="9.109375" style="3" bestFit="1" customWidth="1"/>
    <col min="13335" max="13567" width="9" style="3"/>
    <col min="13568" max="13568" width="4.33203125" style="3" customWidth="1"/>
    <col min="13569" max="13569" width="4" style="3" customWidth="1"/>
    <col min="13570" max="13570" width="4.109375" style="3" customWidth="1"/>
    <col min="13571" max="13571" width="8" style="3" customWidth="1"/>
    <col min="13572" max="13573" width="8.109375" style="3" customWidth="1"/>
    <col min="13574" max="13574" width="9.109375" style="3" customWidth="1"/>
    <col min="13575" max="13575" width="9" style="3"/>
    <col min="13576" max="13576" width="6.44140625" style="3" customWidth="1"/>
    <col min="13577" max="13577" width="26.109375" style="3" customWidth="1"/>
    <col min="13578" max="13578" width="7.109375" style="3" customWidth="1"/>
    <col min="13579" max="13579" width="11.109375" style="3" customWidth="1"/>
    <col min="13580" max="13580" width="5.109375" style="3" bestFit="1" customWidth="1"/>
    <col min="13581" max="13584" width="9" style="3"/>
    <col min="13585" max="13585" width="7.44140625" style="3" bestFit="1" customWidth="1"/>
    <col min="13586" max="13590" width="9.109375" style="3" bestFit="1" customWidth="1"/>
    <col min="13591" max="13823" width="9" style="3"/>
    <col min="13824" max="13824" width="4.33203125" style="3" customWidth="1"/>
    <col min="13825" max="13825" width="4" style="3" customWidth="1"/>
    <col min="13826" max="13826" width="4.109375" style="3" customWidth="1"/>
    <col min="13827" max="13827" width="8" style="3" customWidth="1"/>
    <col min="13828" max="13829" width="8.109375" style="3" customWidth="1"/>
    <col min="13830" max="13830" width="9.109375" style="3" customWidth="1"/>
    <col min="13831" max="13831" width="9" style="3"/>
    <col min="13832" max="13832" width="6.44140625" style="3" customWidth="1"/>
    <col min="13833" max="13833" width="26.109375" style="3" customWidth="1"/>
    <col min="13834" max="13834" width="7.109375" style="3" customWidth="1"/>
    <col min="13835" max="13835" width="11.109375" style="3" customWidth="1"/>
    <col min="13836" max="13836" width="5.109375" style="3" bestFit="1" customWidth="1"/>
    <col min="13837" max="13840" width="9" style="3"/>
    <col min="13841" max="13841" width="7.44140625" style="3" bestFit="1" customWidth="1"/>
    <col min="13842" max="13846" width="9.109375" style="3" bestFit="1" customWidth="1"/>
    <col min="13847" max="14079" width="9" style="3"/>
    <col min="14080" max="14080" width="4.33203125" style="3" customWidth="1"/>
    <col min="14081" max="14081" width="4" style="3" customWidth="1"/>
    <col min="14082" max="14082" width="4.109375" style="3" customWidth="1"/>
    <col min="14083" max="14083" width="8" style="3" customWidth="1"/>
    <col min="14084" max="14085" width="8.109375" style="3" customWidth="1"/>
    <col min="14086" max="14086" width="9.109375" style="3" customWidth="1"/>
    <col min="14087" max="14087" width="9" style="3"/>
    <col min="14088" max="14088" width="6.44140625" style="3" customWidth="1"/>
    <col min="14089" max="14089" width="26.109375" style="3" customWidth="1"/>
    <col min="14090" max="14090" width="7.109375" style="3" customWidth="1"/>
    <col min="14091" max="14091" width="11.109375" style="3" customWidth="1"/>
    <col min="14092" max="14092" width="5.109375" style="3" bestFit="1" customWidth="1"/>
    <col min="14093" max="14096" width="9" style="3"/>
    <col min="14097" max="14097" width="7.44140625" style="3" bestFit="1" customWidth="1"/>
    <col min="14098" max="14102" width="9.109375" style="3" bestFit="1" customWidth="1"/>
    <col min="14103" max="14335" width="9" style="3"/>
    <col min="14336" max="14336" width="4.33203125" style="3" customWidth="1"/>
    <col min="14337" max="14337" width="4" style="3" customWidth="1"/>
    <col min="14338" max="14338" width="4.109375" style="3" customWidth="1"/>
    <col min="14339" max="14339" width="8" style="3" customWidth="1"/>
    <col min="14340" max="14341" width="8.109375" style="3" customWidth="1"/>
    <col min="14342" max="14342" width="9.109375" style="3" customWidth="1"/>
    <col min="14343" max="14343" width="9" style="3"/>
    <col min="14344" max="14344" width="6.44140625" style="3" customWidth="1"/>
    <col min="14345" max="14345" width="26.109375" style="3" customWidth="1"/>
    <col min="14346" max="14346" width="7.109375" style="3" customWidth="1"/>
    <col min="14347" max="14347" width="11.109375" style="3" customWidth="1"/>
    <col min="14348" max="14348" width="5.109375" style="3" bestFit="1" customWidth="1"/>
    <col min="14349" max="14352" width="9" style="3"/>
    <col min="14353" max="14353" width="7.44140625" style="3" bestFit="1" customWidth="1"/>
    <col min="14354" max="14358" width="9.109375" style="3" bestFit="1" customWidth="1"/>
    <col min="14359" max="14591" width="9" style="3"/>
    <col min="14592" max="14592" width="4.33203125" style="3" customWidth="1"/>
    <col min="14593" max="14593" width="4" style="3" customWidth="1"/>
    <col min="14594" max="14594" width="4.109375" style="3" customWidth="1"/>
    <col min="14595" max="14595" width="8" style="3" customWidth="1"/>
    <col min="14596" max="14597" width="8.109375" style="3" customWidth="1"/>
    <col min="14598" max="14598" width="9.109375" style="3" customWidth="1"/>
    <col min="14599" max="14599" width="9" style="3"/>
    <col min="14600" max="14600" width="6.44140625" style="3" customWidth="1"/>
    <col min="14601" max="14601" width="26.109375" style="3" customWidth="1"/>
    <col min="14602" max="14602" width="7.109375" style="3" customWidth="1"/>
    <col min="14603" max="14603" width="11.109375" style="3" customWidth="1"/>
    <col min="14604" max="14604" width="5.109375" style="3" bestFit="1" customWidth="1"/>
    <col min="14605" max="14608" width="9" style="3"/>
    <col min="14609" max="14609" width="7.44140625" style="3" bestFit="1" customWidth="1"/>
    <col min="14610" max="14614" width="9.109375" style="3" bestFit="1" customWidth="1"/>
    <col min="14615" max="14847" width="9" style="3"/>
    <col min="14848" max="14848" width="4.33203125" style="3" customWidth="1"/>
    <col min="14849" max="14849" width="4" style="3" customWidth="1"/>
    <col min="14850" max="14850" width="4.109375" style="3" customWidth="1"/>
    <col min="14851" max="14851" width="8" style="3" customWidth="1"/>
    <col min="14852" max="14853" width="8.109375" style="3" customWidth="1"/>
    <col min="14854" max="14854" width="9.109375" style="3" customWidth="1"/>
    <col min="14855" max="14855" width="9" style="3"/>
    <col min="14856" max="14856" width="6.44140625" style="3" customWidth="1"/>
    <col min="14857" max="14857" width="26.109375" style="3" customWidth="1"/>
    <col min="14858" max="14858" width="7.109375" style="3" customWidth="1"/>
    <col min="14859" max="14859" width="11.109375" style="3" customWidth="1"/>
    <col min="14860" max="14860" width="5.109375" style="3" bestFit="1" customWidth="1"/>
    <col min="14861" max="14864" width="9" style="3"/>
    <col min="14865" max="14865" width="7.44140625" style="3" bestFit="1" customWidth="1"/>
    <col min="14866" max="14870" width="9.109375" style="3" bestFit="1" customWidth="1"/>
    <col min="14871" max="15103" width="9" style="3"/>
    <col min="15104" max="15104" width="4.33203125" style="3" customWidth="1"/>
    <col min="15105" max="15105" width="4" style="3" customWidth="1"/>
    <col min="15106" max="15106" width="4.109375" style="3" customWidth="1"/>
    <col min="15107" max="15107" width="8" style="3" customWidth="1"/>
    <col min="15108" max="15109" width="8.109375" style="3" customWidth="1"/>
    <col min="15110" max="15110" width="9.109375" style="3" customWidth="1"/>
    <col min="15111" max="15111" width="9" style="3"/>
    <col min="15112" max="15112" width="6.44140625" style="3" customWidth="1"/>
    <col min="15113" max="15113" width="26.109375" style="3" customWidth="1"/>
    <col min="15114" max="15114" width="7.109375" style="3" customWidth="1"/>
    <col min="15115" max="15115" width="11.109375" style="3" customWidth="1"/>
    <col min="15116" max="15116" width="5.109375" style="3" bestFit="1" customWidth="1"/>
    <col min="15117" max="15120" width="9" style="3"/>
    <col min="15121" max="15121" width="7.44140625" style="3" bestFit="1" customWidth="1"/>
    <col min="15122" max="15126" width="9.109375" style="3" bestFit="1" customWidth="1"/>
    <col min="15127" max="15359" width="9" style="3"/>
    <col min="15360" max="15360" width="4.33203125" style="3" customWidth="1"/>
    <col min="15361" max="15361" width="4" style="3" customWidth="1"/>
    <col min="15362" max="15362" width="4.109375" style="3" customWidth="1"/>
    <col min="15363" max="15363" width="8" style="3" customWidth="1"/>
    <col min="15364" max="15365" width="8.109375" style="3" customWidth="1"/>
    <col min="15366" max="15366" width="9.109375" style="3" customWidth="1"/>
    <col min="15367" max="15367" width="9" style="3"/>
    <col min="15368" max="15368" width="6.44140625" style="3" customWidth="1"/>
    <col min="15369" max="15369" width="26.109375" style="3" customWidth="1"/>
    <col min="15370" max="15370" width="7.109375" style="3" customWidth="1"/>
    <col min="15371" max="15371" width="11.109375" style="3" customWidth="1"/>
    <col min="15372" max="15372" width="5.109375" style="3" bestFit="1" customWidth="1"/>
    <col min="15373" max="15376" width="9" style="3"/>
    <col min="15377" max="15377" width="7.44140625" style="3" bestFit="1" customWidth="1"/>
    <col min="15378" max="15382" width="9.109375" style="3" bestFit="1" customWidth="1"/>
    <col min="15383" max="15615" width="9" style="3"/>
    <col min="15616" max="15616" width="4.33203125" style="3" customWidth="1"/>
    <col min="15617" max="15617" width="4" style="3" customWidth="1"/>
    <col min="15618" max="15618" width="4.109375" style="3" customWidth="1"/>
    <col min="15619" max="15619" width="8" style="3" customWidth="1"/>
    <col min="15620" max="15621" width="8.109375" style="3" customWidth="1"/>
    <col min="15622" max="15622" width="9.109375" style="3" customWidth="1"/>
    <col min="15623" max="15623" width="9" style="3"/>
    <col min="15624" max="15624" width="6.44140625" style="3" customWidth="1"/>
    <col min="15625" max="15625" width="26.109375" style="3" customWidth="1"/>
    <col min="15626" max="15626" width="7.109375" style="3" customWidth="1"/>
    <col min="15627" max="15627" width="11.109375" style="3" customWidth="1"/>
    <col min="15628" max="15628" width="5.109375" style="3" bestFit="1" customWidth="1"/>
    <col min="15629" max="15632" width="9" style="3"/>
    <col min="15633" max="15633" width="7.44140625" style="3" bestFit="1" customWidth="1"/>
    <col min="15634" max="15638" width="9.109375" style="3" bestFit="1" customWidth="1"/>
    <col min="15639" max="15871" width="9" style="3"/>
    <col min="15872" max="15872" width="4.33203125" style="3" customWidth="1"/>
    <col min="15873" max="15873" width="4" style="3" customWidth="1"/>
    <col min="15874" max="15874" width="4.109375" style="3" customWidth="1"/>
    <col min="15875" max="15875" width="8" style="3" customWidth="1"/>
    <col min="15876" max="15877" width="8.109375" style="3" customWidth="1"/>
    <col min="15878" max="15878" width="9.109375" style="3" customWidth="1"/>
    <col min="15879" max="15879" width="9" style="3"/>
    <col min="15880" max="15880" width="6.44140625" style="3" customWidth="1"/>
    <col min="15881" max="15881" width="26.109375" style="3" customWidth="1"/>
    <col min="15882" max="15882" width="7.109375" style="3" customWidth="1"/>
    <col min="15883" max="15883" width="11.109375" style="3" customWidth="1"/>
    <col min="15884" max="15884" width="5.109375" style="3" bestFit="1" customWidth="1"/>
    <col min="15885" max="15888" width="9" style="3"/>
    <col min="15889" max="15889" width="7.44140625" style="3" bestFit="1" customWidth="1"/>
    <col min="15890" max="15894" width="9.109375" style="3" bestFit="1" customWidth="1"/>
    <col min="15895" max="16127" width="9" style="3"/>
    <col min="16128" max="16128" width="4.33203125" style="3" customWidth="1"/>
    <col min="16129" max="16129" width="4" style="3" customWidth="1"/>
    <col min="16130" max="16130" width="4.109375" style="3" customWidth="1"/>
    <col min="16131" max="16131" width="8" style="3" customWidth="1"/>
    <col min="16132" max="16133" width="8.109375" style="3" customWidth="1"/>
    <col min="16134" max="16134" width="9.109375" style="3" customWidth="1"/>
    <col min="16135" max="16135" width="9" style="3"/>
    <col min="16136" max="16136" width="6.44140625" style="3" customWidth="1"/>
    <col min="16137" max="16137" width="26.109375" style="3" customWidth="1"/>
    <col min="16138" max="16138" width="7.109375" style="3" customWidth="1"/>
    <col min="16139" max="16139" width="11.109375" style="3" customWidth="1"/>
    <col min="16140" max="16140" width="5.109375" style="3" bestFit="1" customWidth="1"/>
    <col min="16141" max="16144" width="9" style="3"/>
    <col min="16145" max="16145" width="7.44140625" style="3" bestFit="1" customWidth="1"/>
    <col min="16146" max="16150" width="9.109375" style="3" bestFit="1" customWidth="1"/>
    <col min="16151" max="16383" width="9" style="3"/>
    <col min="16384" max="16384" width="9" style="3" customWidth="1"/>
  </cols>
  <sheetData>
    <row r="1" spans="1:22" ht="27" customHeight="1" thickBot="1" x14ac:dyDescent="0.25">
      <c r="A1" s="1"/>
      <c r="B1" s="1"/>
      <c r="C1" s="2"/>
      <c r="D1" s="2"/>
      <c r="F1" s="4" t="s">
        <v>12</v>
      </c>
      <c r="G1" s="5"/>
      <c r="I1" s="3"/>
      <c r="N1" s="219" t="s">
        <v>22</v>
      </c>
      <c r="O1" s="219"/>
      <c r="P1" s="219"/>
    </row>
    <row r="2" spans="1:22" ht="19.5" customHeight="1" thickBot="1" x14ac:dyDescent="0.25">
      <c r="G2" s="220">
        <v>44501</v>
      </c>
      <c r="H2" s="220"/>
      <c r="I2" s="220"/>
      <c r="J2" s="38"/>
      <c r="K2" s="221" t="s">
        <v>14</v>
      </c>
      <c r="L2" s="222"/>
      <c r="M2" s="221" t="s">
        <v>19</v>
      </c>
      <c r="N2" s="222"/>
      <c r="O2" s="221" t="s">
        <v>18</v>
      </c>
      <c r="P2" s="222"/>
      <c r="U2" s="23"/>
      <c r="V2" s="23"/>
    </row>
    <row r="3" spans="1:22" ht="19.95" customHeight="1" x14ac:dyDescent="0.2">
      <c r="E3" s="223">
        <f>DATEVALUE(TEXT(G2,"yyyy/mm/") &amp; "01")</f>
        <v>44501</v>
      </c>
      <c r="F3" s="223"/>
      <c r="G3" s="223"/>
      <c r="H3" s="224">
        <f>EDATE(E3,1)-1</f>
        <v>44530</v>
      </c>
      <c r="I3" s="224"/>
      <c r="J3" s="42"/>
      <c r="K3" s="62"/>
      <c r="L3" s="63"/>
      <c r="M3" s="62"/>
      <c r="N3" s="64"/>
      <c r="O3" s="62"/>
      <c r="P3" s="64"/>
    </row>
    <row r="4" spans="1:22" ht="19.95" customHeight="1" thickBot="1" x14ac:dyDescent="0.25">
      <c r="B4" s="45" t="s">
        <v>23</v>
      </c>
      <c r="D4" s="225" t="s">
        <v>25</v>
      </c>
      <c r="E4" s="226"/>
      <c r="F4" s="226"/>
      <c r="G4" s="226"/>
      <c r="I4" s="39"/>
      <c r="J4" s="8"/>
      <c r="K4" s="62"/>
      <c r="L4" s="63"/>
      <c r="M4" s="62"/>
      <c r="N4" s="64"/>
      <c r="O4" s="62"/>
      <c r="P4" s="64"/>
    </row>
    <row r="5" spans="1:22" ht="19.95" customHeight="1" thickBot="1" x14ac:dyDescent="0.25">
      <c r="B5" s="40" t="s">
        <v>16</v>
      </c>
      <c r="D5" s="226" t="s">
        <v>24</v>
      </c>
      <c r="E5" s="226"/>
      <c r="F5" s="226"/>
      <c r="G5" s="226"/>
      <c r="H5" s="41" t="s">
        <v>17</v>
      </c>
      <c r="I5" s="44">
        <f>SUM(H8:H38)</f>
        <v>0.71875</v>
      </c>
      <c r="J5" s="8"/>
      <c r="K5" s="227" t="s">
        <v>15</v>
      </c>
      <c r="L5" s="228"/>
      <c r="M5" s="227" t="s">
        <v>15</v>
      </c>
      <c r="N5" s="228"/>
      <c r="O5" s="227" t="s">
        <v>15</v>
      </c>
      <c r="P5" s="228"/>
    </row>
    <row r="6" spans="1:22" ht="3.45" customHeight="1" thickBot="1" x14ac:dyDescent="0.25">
      <c r="E6" s="6"/>
      <c r="F6" s="7"/>
      <c r="J6" s="8"/>
      <c r="K6" s="8"/>
      <c r="L6" s="8"/>
      <c r="M6" s="8"/>
      <c r="N6" s="8"/>
      <c r="O6" s="8"/>
      <c r="P6" s="9"/>
    </row>
    <row r="7" spans="1:22" ht="24" customHeight="1" thickBot="1" x14ac:dyDescent="0.25">
      <c r="A7" s="10" t="s">
        <v>0</v>
      </c>
      <c r="B7" s="11" t="s">
        <v>1</v>
      </c>
      <c r="C7" s="11" t="s">
        <v>2</v>
      </c>
      <c r="D7" s="11" t="s">
        <v>3</v>
      </c>
      <c r="E7" s="11" t="s">
        <v>4</v>
      </c>
      <c r="F7" s="12" t="s">
        <v>5</v>
      </c>
      <c r="G7" s="13" t="s">
        <v>6</v>
      </c>
      <c r="H7" s="14" t="s">
        <v>7</v>
      </c>
      <c r="I7" s="216" t="s">
        <v>20</v>
      </c>
      <c r="J7" s="217"/>
      <c r="K7" s="217"/>
      <c r="L7" s="217"/>
      <c r="M7" s="217"/>
      <c r="N7" s="217"/>
      <c r="O7" s="218"/>
      <c r="P7" s="15" t="s">
        <v>8</v>
      </c>
      <c r="Q7" s="16" t="s">
        <v>9</v>
      </c>
    </row>
    <row r="8" spans="1:22" ht="30" customHeight="1" x14ac:dyDescent="0.2">
      <c r="A8" s="17">
        <f>B8</f>
        <v>44501</v>
      </c>
      <c r="B8" s="18">
        <f>E3</f>
        <v>44501</v>
      </c>
      <c r="C8" s="19">
        <f t="shared" ref="C8:C38" si="0">B8</f>
        <v>44501</v>
      </c>
      <c r="D8" s="20" t="str">
        <f t="shared" ref="D8:D35" si="1">IF(Q8="勤務","勤務",IF(OR(WEEKDAY(B8)=1,WEEKDAY(B8)=7,C8="日",Q8="祝日",Q8="特休",Q8="代休",Q8="休み"),"休日",IF(C8="","","勤務")))</f>
        <v>勤務</v>
      </c>
      <c r="E8" s="46">
        <v>0.375</v>
      </c>
      <c r="F8" s="47">
        <v>0.8125</v>
      </c>
      <c r="G8" s="21" t="str">
        <f>IF(F8="","",IF(F8=":","",IF(F8&gt;=VALUE("13:15"),IF(F8&gt;VALUE("17:45"),IF(F8&gt;VALUE("21:00"),"1:15","1:00"),"0:45"),0)))</f>
        <v>1:00</v>
      </c>
      <c r="H8" s="22">
        <f>IF(G8="","",F8-E8-G8)</f>
        <v>0.39583333333333331</v>
      </c>
      <c r="I8" s="213" t="s">
        <v>10</v>
      </c>
      <c r="J8" s="214"/>
      <c r="K8" s="214"/>
      <c r="L8" s="214"/>
      <c r="M8" s="214"/>
      <c r="N8" s="214"/>
      <c r="O8" s="215"/>
      <c r="P8" s="65"/>
      <c r="Q8" s="48"/>
    </row>
    <row r="9" spans="1:22" ht="30" customHeight="1" x14ac:dyDescent="0.2">
      <c r="A9" s="17"/>
      <c r="B9" s="18">
        <f t="shared" ref="B9:B35" si="2">B8+1</f>
        <v>44502</v>
      </c>
      <c r="C9" s="19">
        <f t="shared" si="0"/>
        <v>44502</v>
      </c>
      <c r="D9" s="20" t="str">
        <f t="shared" si="1"/>
        <v>勤務</v>
      </c>
      <c r="E9" s="46">
        <v>0.375</v>
      </c>
      <c r="F9" s="47">
        <v>0.72916666666666663</v>
      </c>
      <c r="G9" s="21" t="str">
        <f t="shared" ref="G9:G38" si="3">IF(F9="","",IF(F9=":","",IF(F9&gt;=VALUE("13:15"),IF(F9&gt;VALUE("17:45"),IF(F9&gt;VALUE("21:00"),"1:15","1:00"),"0:45"),0)))</f>
        <v>0:45</v>
      </c>
      <c r="H9" s="22">
        <f t="shared" ref="H9:H38" si="4">IF(G9="","",F9-E9-G9)</f>
        <v>0.32291666666666663</v>
      </c>
      <c r="I9" s="213" t="s">
        <v>29</v>
      </c>
      <c r="J9" s="214"/>
      <c r="K9" s="214"/>
      <c r="L9" s="214"/>
      <c r="M9" s="214"/>
      <c r="N9" s="214"/>
      <c r="O9" s="215"/>
      <c r="P9" s="65"/>
      <c r="Q9" s="48"/>
      <c r="S9" s="45" t="s">
        <v>26</v>
      </c>
    </row>
    <row r="10" spans="1:22" ht="30" customHeight="1" x14ac:dyDescent="0.2">
      <c r="A10" s="17"/>
      <c r="B10" s="18">
        <f t="shared" si="2"/>
        <v>44503</v>
      </c>
      <c r="C10" s="19">
        <f t="shared" si="0"/>
        <v>44503</v>
      </c>
      <c r="D10" s="20" t="str">
        <f t="shared" si="1"/>
        <v>勤務</v>
      </c>
      <c r="E10" s="46"/>
      <c r="F10" s="47"/>
      <c r="G10" s="21" t="str">
        <f t="shared" si="3"/>
        <v/>
      </c>
      <c r="H10" s="22" t="str">
        <f t="shared" si="4"/>
        <v/>
      </c>
      <c r="I10" s="213"/>
      <c r="J10" s="214"/>
      <c r="K10" s="214"/>
      <c r="L10" s="214"/>
      <c r="M10" s="214"/>
      <c r="N10" s="214"/>
      <c r="O10" s="215"/>
      <c r="P10" s="65"/>
      <c r="Q10" s="48"/>
      <c r="S10" s="45" t="s">
        <v>27</v>
      </c>
    </row>
    <row r="11" spans="1:22" ht="30" customHeight="1" x14ac:dyDescent="0.2">
      <c r="A11" s="17"/>
      <c r="B11" s="18">
        <f t="shared" si="2"/>
        <v>44504</v>
      </c>
      <c r="C11" s="19">
        <f t="shared" si="0"/>
        <v>44504</v>
      </c>
      <c r="D11" s="24" t="str">
        <f t="shared" si="1"/>
        <v>勤務</v>
      </c>
      <c r="E11" s="46"/>
      <c r="F11" s="47"/>
      <c r="G11" s="21" t="str">
        <f t="shared" si="3"/>
        <v/>
      </c>
      <c r="H11" s="22" t="str">
        <f t="shared" si="4"/>
        <v/>
      </c>
      <c r="I11" s="213"/>
      <c r="J11" s="214"/>
      <c r="K11" s="214"/>
      <c r="L11" s="214"/>
      <c r="M11" s="214"/>
      <c r="N11" s="214"/>
      <c r="O11" s="215"/>
      <c r="P11" s="65"/>
      <c r="Q11" s="48"/>
      <c r="S11" s="45" t="s">
        <v>28</v>
      </c>
    </row>
    <row r="12" spans="1:22" ht="30" customHeight="1" x14ac:dyDescent="0.2">
      <c r="A12" s="17"/>
      <c r="B12" s="18">
        <f t="shared" si="2"/>
        <v>44505</v>
      </c>
      <c r="C12" s="19">
        <f t="shared" si="0"/>
        <v>44505</v>
      </c>
      <c r="D12" s="20" t="str">
        <f t="shared" si="1"/>
        <v>勤務</v>
      </c>
      <c r="E12" s="46"/>
      <c r="F12" s="47"/>
      <c r="G12" s="21" t="str">
        <f t="shared" si="3"/>
        <v/>
      </c>
      <c r="H12" s="22" t="str">
        <f t="shared" si="4"/>
        <v/>
      </c>
      <c r="I12" s="213"/>
      <c r="J12" s="214"/>
      <c r="K12" s="214"/>
      <c r="L12" s="214"/>
      <c r="M12" s="214"/>
      <c r="N12" s="214"/>
      <c r="O12" s="215"/>
      <c r="P12" s="65"/>
      <c r="Q12" s="48"/>
    </row>
    <row r="13" spans="1:22" ht="30" customHeight="1" x14ac:dyDescent="0.2">
      <c r="A13" s="17"/>
      <c r="B13" s="18">
        <f t="shared" si="2"/>
        <v>44506</v>
      </c>
      <c r="C13" s="19">
        <f t="shared" si="0"/>
        <v>44506</v>
      </c>
      <c r="D13" s="20" t="str">
        <f t="shared" si="1"/>
        <v>休日</v>
      </c>
      <c r="E13" s="46"/>
      <c r="F13" s="47"/>
      <c r="G13" s="21" t="str">
        <f t="shared" si="3"/>
        <v/>
      </c>
      <c r="H13" s="22" t="str">
        <f t="shared" si="4"/>
        <v/>
      </c>
      <c r="I13" s="213"/>
      <c r="J13" s="214"/>
      <c r="K13" s="214"/>
      <c r="L13" s="214"/>
      <c r="M13" s="214"/>
      <c r="N13" s="214"/>
      <c r="O13" s="215"/>
      <c r="P13" s="65"/>
      <c r="Q13" s="48"/>
    </row>
    <row r="14" spans="1:22" ht="30" customHeight="1" x14ac:dyDescent="0.2">
      <c r="A14" s="17"/>
      <c r="B14" s="18">
        <f t="shared" si="2"/>
        <v>44507</v>
      </c>
      <c r="C14" s="19">
        <f t="shared" si="0"/>
        <v>44507</v>
      </c>
      <c r="D14" s="20" t="str">
        <f t="shared" si="1"/>
        <v>休日</v>
      </c>
      <c r="E14" s="46"/>
      <c r="F14" s="47"/>
      <c r="G14" s="21" t="str">
        <f t="shared" si="3"/>
        <v/>
      </c>
      <c r="H14" s="22" t="str">
        <f t="shared" si="4"/>
        <v/>
      </c>
      <c r="I14" s="213"/>
      <c r="J14" s="214"/>
      <c r="K14" s="214"/>
      <c r="L14" s="214"/>
      <c r="M14" s="214"/>
      <c r="N14" s="214"/>
      <c r="O14" s="215"/>
      <c r="P14" s="65"/>
      <c r="Q14" s="48"/>
    </row>
    <row r="15" spans="1:22" ht="30" customHeight="1" x14ac:dyDescent="0.2">
      <c r="A15" s="25"/>
      <c r="B15" s="18">
        <f t="shared" si="2"/>
        <v>44508</v>
      </c>
      <c r="C15" s="19">
        <f t="shared" si="0"/>
        <v>44508</v>
      </c>
      <c r="D15" s="20" t="str">
        <f t="shared" si="1"/>
        <v>勤務</v>
      </c>
      <c r="E15" s="46"/>
      <c r="F15" s="47"/>
      <c r="G15" s="21" t="str">
        <f t="shared" si="3"/>
        <v/>
      </c>
      <c r="H15" s="22" t="str">
        <f t="shared" si="4"/>
        <v/>
      </c>
      <c r="I15" s="213"/>
      <c r="J15" s="214"/>
      <c r="K15" s="214"/>
      <c r="L15" s="214"/>
      <c r="M15" s="214"/>
      <c r="N15" s="214"/>
      <c r="O15" s="215"/>
      <c r="P15" s="65"/>
      <c r="Q15" s="48"/>
    </row>
    <row r="16" spans="1:22" ht="30" customHeight="1" x14ac:dyDescent="0.2">
      <c r="A16" s="17" t="str">
        <f>IF(DAY(B16)=1,B16,"")</f>
        <v/>
      </c>
      <c r="B16" s="18">
        <f t="shared" si="2"/>
        <v>44509</v>
      </c>
      <c r="C16" s="19">
        <f t="shared" si="0"/>
        <v>44509</v>
      </c>
      <c r="D16" s="20" t="str">
        <f t="shared" si="1"/>
        <v>勤務</v>
      </c>
      <c r="E16" s="46"/>
      <c r="F16" s="47"/>
      <c r="G16" s="21" t="str">
        <f t="shared" si="3"/>
        <v/>
      </c>
      <c r="H16" s="22" t="str">
        <f t="shared" si="4"/>
        <v/>
      </c>
      <c r="I16" s="213"/>
      <c r="J16" s="214"/>
      <c r="K16" s="214"/>
      <c r="L16" s="214"/>
      <c r="M16" s="214"/>
      <c r="N16" s="214"/>
      <c r="O16" s="215"/>
      <c r="P16" s="65"/>
      <c r="Q16" s="48"/>
    </row>
    <row r="17" spans="1:19" ht="30" customHeight="1" x14ac:dyDescent="0.2">
      <c r="A17" s="17" t="str">
        <f>IF(DAY(B17)=1,B17,"")</f>
        <v/>
      </c>
      <c r="B17" s="18">
        <f t="shared" si="2"/>
        <v>44510</v>
      </c>
      <c r="C17" s="19">
        <f t="shared" si="0"/>
        <v>44510</v>
      </c>
      <c r="D17" s="20" t="str">
        <f t="shared" si="1"/>
        <v>勤務</v>
      </c>
      <c r="E17" s="46"/>
      <c r="F17" s="47"/>
      <c r="G17" s="21" t="str">
        <f t="shared" si="3"/>
        <v/>
      </c>
      <c r="H17" s="22" t="str">
        <f t="shared" si="4"/>
        <v/>
      </c>
      <c r="I17" s="213"/>
      <c r="J17" s="214"/>
      <c r="K17" s="214"/>
      <c r="L17" s="214"/>
      <c r="M17" s="214"/>
      <c r="N17" s="214"/>
      <c r="O17" s="215"/>
      <c r="P17" s="65"/>
      <c r="Q17" s="48"/>
    </row>
    <row r="18" spans="1:19" ht="30" customHeight="1" x14ac:dyDescent="0.2">
      <c r="A18" s="17" t="str">
        <f>IF(DAY(B18)=1,B18,"")</f>
        <v/>
      </c>
      <c r="B18" s="26">
        <f t="shared" si="2"/>
        <v>44511</v>
      </c>
      <c r="C18" s="27">
        <f t="shared" si="0"/>
        <v>44511</v>
      </c>
      <c r="D18" s="24" t="str">
        <f t="shared" si="1"/>
        <v>勤務</v>
      </c>
      <c r="E18" s="46"/>
      <c r="F18" s="47"/>
      <c r="G18" s="21" t="str">
        <f t="shared" si="3"/>
        <v/>
      </c>
      <c r="H18" s="22" t="str">
        <f t="shared" si="4"/>
        <v/>
      </c>
      <c r="I18" s="213"/>
      <c r="J18" s="214"/>
      <c r="K18" s="214"/>
      <c r="L18" s="214"/>
      <c r="M18" s="214"/>
      <c r="N18" s="214"/>
      <c r="O18" s="215"/>
      <c r="P18" s="65"/>
      <c r="Q18" s="48"/>
    </row>
    <row r="19" spans="1:19" ht="30" customHeight="1" x14ac:dyDescent="0.2">
      <c r="A19" s="17" t="str">
        <f>IF(DAY(B19)=1,B19,"")</f>
        <v/>
      </c>
      <c r="B19" s="26">
        <f t="shared" si="2"/>
        <v>44512</v>
      </c>
      <c r="C19" s="27">
        <f t="shared" si="0"/>
        <v>44512</v>
      </c>
      <c r="D19" s="20" t="str">
        <f t="shared" si="1"/>
        <v>勤務</v>
      </c>
      <c r="E19" s="46"/>
      <c r="F19" s="47"/>
      <c r="G19" s="21" t="str">
        <f t="shared" si="3"/>
        <v/>
      </c>
      <c r="H19" s="22" t="str">
        <f t="shared" si="4"/>
        <v/>
      </c>
      <c r="I19" s="213"/>
      <c r="J19" s="214"/>
      <c r="K19" s="214"/>
      <c r="L19" s="214"/>
      <c r="M19" s="214"/>
      <c r="N19" s="214"/>
      <c r="O19" s="215"/>
      <c r="P19" s="65"/>
      <c r="Q19" s="48"/>
    </row>
    <row r="20" spans="1:19" ht="30" customHeight="1" x14ac:dyDescent="0.2">
      <c r="A20" s="17"/>
      <c r="B20" s="26">
        <f t="shared" si="2"/>
        <v>44513</v>
      </c>
      <c r="C20" s="19">
        <f t="shared" si="0"/>
        <v>44513</v>
      </c>
      <c r="D20" s="20" t="str">
        <f t="shared" si="1"/>
        <v>休日</v>
      </c>
      <c r="E20" s="46"/>
      <c r="F20" s="47"/>
      <c r="G20" s="21" t="str">
        <f t="shared" si="3"/>
        <v/>
      </c>
      <c r="H20" s="22" t="str">
        <f t="shared" si="4"/>
        <v/>
      </c>
      <c r="I20" s="213"/>
      <c r="J20" s="214"/>
      <c r="K20" s="214"/>
      <c r="L20" s="214"/>
      <c r="M20" s="214"/>
      <c r="N20" s="214"/>
      <c r="O20" s="215"/>
      <c r="P20" s="65"/>
      <c r="Q20" s="48"/>
    </row>
    <row r="21" spans="1:19" ht="30" customHeight="1" x14ac:dyDescent="0.2">
      <c r="A21" s="25"/>
      <c r="B21" s="26">
        <f t="shared" si="2"/>
        <v>44514</v>
      </c>
      <c r="C21" s="19">
        <f t="shared" si="0"/>
        <v>44514</v>
      </c>
      <c r="D21" s="20" t="str">
        <f t="shared" si="1"/>
        <v>休日</v>
      </c>
      <c r="E21" s="46"/>
      <c r="F21" s="47"/>
      <c r="G21" s="21" t="str">
        <f t="shared" si="3"/>
        <v/>
      </c>
      <c r="H21" s="22" t="str">
        <f t="shared" si="4"/>
        <v/>
      </c>
      <c r="I21" s="213"/>
      <c r="J21" s="214"/>
      <c r="K21" s="214"/>
      <c r="L21" s="214"/>
      <c r="M21" s="214"/>
      <c r="N21" s="214"/>
      <c r="O21" s="215"/>
      <c r="P21" s="65"/>
      <c r="Q21" s="48"/>
    </row>
    <row r="22" spans="1:19" ht="30" customHeight="1" x14ac:dyDescent="0.2">
      <c r="A22" s="25"/>
      <c r="B22" s="26">
        <f t="shared" si="2"/>
        <v>44515</v>
      </c>
      <c r="C22" s="27">
        <f t="shared" si="0"/>
        <v>44515</v>
      </c>
      <c r="D22" s="20" t="str">
        <f t="shared" si="1"/>
        <v>勤務</v>
      </c>
      <c r="E22" s="46"/>
      <c r="F22" s="47"/>
      <c r="G22" s="21" t="str">
        <f t="shared" si="3"/>
        <v/>
      </c>
      <c r="H22" s="22" t="str">
        <f t="shared" si="4"/>
        <v/>
      </c>
      <c r="I22" s="213"/>
      <c r="J22" s="214"/>
      <c r="K22" s="214"/>
      <c r="L22" s="214"/>
      <c r="M22" s="214"/>
      <c r="N22" s="214"/>
      <c r="O22" s="215"/>
      <c r="P22" s="65"/>
      <c r="Q22" s="48"/>
    </row>
    <row r="23" spans="1:19" ht="30" customHeight="1" x14ac:dyDescent="0.2">
      <c r="A23" s="25"/>
      <c r="B23" s="26">
        <f t="shared" si="2"/>
        <v>44516</v>
      </c>
      <c r="C23" s="28">
        <f t="shared" si="0"/>
        <v>44516</v>
      </c>
      <c r="D23" s="20" t="str">
        <f t="shared" si="1"/>
        <v>勤務</v>
      </c>
      <c r="E23" s="46"/>
      <c r="F23" s="47"/>
      <c r="G23" s="21" t="str">
        <f t="shared" si="3"/>
        <v/>
      </c>
      <c r="H23" s="22" t="str">
        <f t="shared" si="4"/>
        <v/>
      </c>
      <c r="I23" s="213"/>
      <c r="J23" s="214"/>
      <c r="K23" s="214"/>
      <c r="L23" s="214"/>
      <c r="M23" s="214"/>
      <c r="N23" s="214"/>
      <c r="O23" s="215"/>
      <c r="P23" s="65"/>
      <c r="Q23" s="48"/>
    </row>
    <row r="24" spans="1:19" ht="30" customHeight="1" x14ac:dyDescent="0.2">
      <c r="A24" s="25"/>
      <c r="B24" s="18">
        <f t="shared" si="2"/>
        <v>44517</v>
      </c>
      <c r="C24" s="19">
        <f t="shared" si="0"/>
        <v>44517</v>
      </c>
      <c r="D24" s="20" t="str">
        <f t="shared" si="1"/>
        <v>勤務</v>
      </c>
      <c r="E24" s="46"/>
      <c r="F24" s="47"/>
      <c r="G24" s="21" t="str">
        <f t="shared" si="3"/>
        <v/>
      </c>
      <c r="H24" s="22" t="str">
        <f t="shared" si="4"/>
        <v/>
      </c>
      <c r="I24" s="213"/>
      <c r="J24" s="214"/>
      <c r="K24" s="214"/>
      <c r="L24" s="214"/>
      <c r="M24" s="214"/>
      <c r="N24" s="214"/>
      <c r="O24" s="215"/>
      <c r="P24" s="65"/>
      <c r="Q24" s="48"/>
    </row>
    <row r="25" spans="1:19" ht="30" customHeight="1" x14ac:dyDescent="0.2">
      <c r="A25" s="25"/>
      <c r="B25" s="18">
        <f t="shared" si="2"/>
        <v>44518</v>
      </c>
      <c r="C25" s="19">
        <f t="shared" si="0"/>
        <v>44518</v>
      </c>
      <c r="D25" s="20" t="str">
        <f t="shared" si="1"/>
        <v>勤務</v>
      </c>
      <c r="E25" s="46"/>
      <c r="F25" s="47"/>
      <c r="G25" s="21" t="str">
        <f t="shared" si="3"/>
        <v/>
      </c>
      <c r="H25" s="22" t="str">
        <f t="shared" si="4"/>
        <v/>
      </c>
      <c r="I25" s="213"/>
      <c r="J25" s="214"/>
      <c r="K25" s="214"/>
      <c r="L25" s="214"/>
      <c r="M25" s="214"/>
      <c r="N25" s="214"/>
      <c r="O25" s="215"/>
      <c r="P25" s="65"/>
      <c r="Q25" s="48"/>
    </row>
    <row r="26" spans="1:19" ht="30" customHeight="1" x14ac:dyDescent="0.2">
      <c r="A26" s="25"/>
      <c r="B26" s="26">
        <f t="shared" si="2"/>
        <v>44519</v>
      </c>
      <c r="C26" s="28">
        <f t="shared" si="0"/>
        <v>44519</v>
      </c>
      <c r="D26" s="24" t="str">
        <f t="shared" si="1"/>
        <v>勤務</v>
      </c>
      <c r="E26" s="46"/>
      <c r="F26" s="47"/>
      <c r="G26" s="21" t="str">
        <f t="shared" si="3"/>
        <v/>
      </c>
      <c r="H26" s="22" t="str">
        <f t="shared" si="4"/>
        <v/>
      </c>
      <c r="I26" s="213"/>
      <c r="J26" s="214"/>
      <c r="K26" s="214"/>
      <c r="L26" s="214"/>
      <c r="M26" s="214"/>
      <c r="N26" s="214"/>
      <c r="O26" s="215"/>
      <c r="P26" s="65"/>
      <c r="Q26" s="48"/>
      <c r="R26" s="23"/>
    </row>
    <row r="27" spans="1:19" ht="30" customHeight="1" x14ac:dyDescent="0.2">
      <c r="A27" s="25"/>
      <c r="B27" s="18">
        <f t="shared" si="2"/>
        <v>44520</v>
      </c>
      <c r="C27" s="19">
        <f t="shared" si="0"/>
        <v>44520</v>
      </c>
      <c r="D27" s="20" t="str">
        <f t="shared" si="1"/>
        <v>休日</v>
      </c>
      <c r="E27" s="46"/>
      <c r="F27" s="47"/>
      <c r="G27" s="21" t="str">
        <f t="shared" si="3"/>
        <v/>
      </c>
      <c r="H27" s="22" t="str">
        <f t="shared" si="4"/>
        <v/>
      </c>
      <c r="I27" s="213"/>
      <c r="J27" s="214"/>
      <c r="K27" s="214"/>
      <c r="L27" s="214"/>
      <c r="M27" s="214"/>
      <c r="N27" s="214"/>
      <c r="O27" s="215"/>
      <c r="P27" s="65"/>
      <c r="Q27" s="48"/>
    </row>
    <row r="28" spans="1:19" ht="30" customHeight="1" x14ac:dyDescent="0.2">
      <c r="A28" s="25"/>
      <c r="B28" s="18">
        <f t="shared" si="2"/>
        <v>44521</v>
      </c>
      <c r="C28" s="19">
        <f t="shared" si="0"/>
        <v>44521</v>
      </c>
      <c r="D28" s="20" t="str">
        <f t="shared" si="1"/>
        <v>休日</v>
      </c>
      <c r="E28" s="46"/>
      <c r="F28" s="47"/>
      <c r="G28" s="21" t="str">
        <f t="shared" si="3"/>
        <v/>
      </c>
      <c r="H28" s="22" t="str">
        <f t="shared" si="4"/>
        <v/>
      </c>
      <c r="I28" s="213"/>
      <c r="J28" s="214"/>
      <c r="K28" s="214"/>
      <c r="L28" s="214"/>
      <c r="M28" s="214"/>
      <c r="N28" s="214"/>
      <c r="O28" s="215"/>
      <c r="P28" s="65"/>
      <c r="Q28" s="48"/>
    </row>
    <row r="29" spans="1:19" ht="30" customHeight="1" x14ac:dyDescent="0.2">
      <c r="A29" s="25"/>
      <c r="B29" s="26">
        <f t="shared" si="2"/>
        <v>44522</v>
      </c>
      <c r="C29" s="27">
        <f t="shared" si="0"/>
        <v>44522</v>
      </c>
      <c r="D29" s="20" t="str">
        <f t="shared" si="1"/>
        <v>休日</v>
      </c>
      <c r="E29" s="46"/>
      <c r="F29" s="47"/>
      <c r="G29" s="21" t="str">
        <f t="shared" si="3"/>
        <v/>
      </c>
      <c r="H29" s="22" t="str">
        <f t="shared" si="4"/>
        <v/>
      </c>
      <c r="I29" s="213"/>
      <c r="J29" s="214"/>
      <c r="K29" s="214"/>
      <c r="L29" s="214"/>
      <c r="M29" s="214"/>
      <c r="N29" s="214"/>
      <c r="O29" s="215"/>
      <c r="P29" s="65"/>
      <c r="Q29" s="48" t="s">
        <v>13</v>
      </c>
    </row>
    <row r="30" spans="1:19" ht="30" customHeight="1" x14ac:dyDescent="0.2">
      <c r="A30" s="25"/>
      <c r="B30" s="18">
        <f t="shared" si="2"/>
        <v>44523</v>
      </c>
      <c r="C30" s="19">
        <f t="shared" si="0"/>
        <v>44523</v>
      </c>
      <c r="D30" s="20" t="str">
        <f t="shared" si="1"/>
        <v>休日</v>
      </c>
      <c r="E30" s="46"/>
      <c r="F30" s="47"/>
      <c r="G30" s="21" t="str">
        <f t="shared" si="3"/>
        <v/>
      </c>
      <c r="H30" s="22" t="str">
        <f t="shared" si="4"/>
        <v/>
      </c>
      <c r="I30" s="213"/>
      <c r="J30" s="214"/>
      <c r="K30" s="214"/>
      <c r="L30" s="214"/>
      <c r="M30" s="214"/>
      <c r="N30" s="214"/>
      <c r="O30" s="215"/>
      <c r="P30" s="65"/>
      <c r="Q30" s="48" t="s">
        <v>11</v>
      </c>
      <c r="S30" s="23"/>
    </row>
    <row r="31" spans="1:19" ht="30" customHeight="1" x14ac:dyDescent="0.2">
      <c r="A31" s="25"/>
      <c r="B31" s="18">
        <f t="shared" si="2"/>
        <v>44524</v>
      </c>
      <c r="C31" s="19">
        <f t="shared" si="0"/>
        <v>44524</v>
      </c>
      <c r="D31" s="20" t="str">
        <f t="shared" si="1"/>
        <v>勤務</v>
      </c>
      <c r="E31" s="46"/>
      <c r="F31" s="47"/>
      <c r="G31" s="21" t="str">
        <f t="shared" si="3"/>
        <v/>
      </c>
      <c r="H31" s="22" t="str">
        <f t="shared" si="4"/>
        <v/>
      </c>
      <c r="I31" s="213"/>
      <c r="J31" s="214"/>
      <c r="K31" s="214"/>
      <c r="L31" s="214"/>
      <c r="M31" s="214"/>
      <c r="N31" s="214"/>
      <c r="O31" s="215"/>
      <c r="P31" s="65"/>
      <c r="Q31" s="48"/>
    </row>
    <row r="32" spans="1:19" ht="30" customHeight="1" x14ac:dyDescent="0.2">
      <c r="A32" s="25"/>
      <c r="B32" s="26">
        <f t="shared" si="2"/>
        <v>44525</v>
      </c>
      <c r="C32" s="27">
        <f t="shared" si="0"/>
        <v>44525</v>
      </c>
      <c r="D32" s="20" t="str">
        <f t="shared" si="1"/>
        <v>勤務</v>
      </c>
      <c r="E32" s="46"/>
      <c r="F32" s="47"/>
      <c r="G32" s="21" t="str">
        <f t="shared" si="3"/>
        <v/>
      </c>
      <c r="H32" s="22" t="str">
        <f t="shared" si="4"/>
        <v/>
      </c>
      <c r="I32" s="213"/>
      <c r="J32" s="214"/>
      <c r="K32" s="214"/>
      <c r="L32" s="214"/>
      <c r="M32" s="214"/>
      <c r="N32" s="214"/>
      <c r="O32" s="215"/>
      <c r="P32" s="65"/>
      <c r="Q32" s="48"/>
    </row>
    <row r="33" spans="1:22" ht="30" customHeight="1" x14ac:dyDescent="0.2">
      <c r="A33" s="25"/>
      <c r="B33" s="18">
        <f t="shared" si="2"/>
        <v>44526</v>
      </c>
      <c r="C33" s="19">
        <f t="shared" si="0"/>
        <v>44526</v>
      </c>
      <c r="D33" s="20" t="str">
        <f t="shared" si="1"/>
        <v>勤務</v>
      </c>
      <c r="E33" s="46"/>
      <c r="F33" s="47"/>
      <c r="G33" s="21" t="str">
        <f t="shared" si="3"/>
        <v/>
      </c>
      <c r="H33" s="22" t="str">
        <f t="shared" si="4"/>
        <v/>
      </c>
      <c r="I33" s="213"/>
      <c r="J33" s="214"/>
      <c r="K33" s="214"/>
      <c r="L33" s="214"/>
      <c r="M33" s="214"/>
      <c r="N33" s="214"/>
      <c r="O33" s="215"/>
      <c r="P33" s="65"/>
      <c r="Q33" s="49"/>
    </row>
    <row r="34" spans="1:22" ht="30" customHeight="1" x14ac:dyDescent="0.2">
      <c r="A34" s="25"/>
      <c r="B34" s="18">
        <f t="shared" si="2"/>
        <v>44527</v>
      </c>
      <c r="C34" s="19">
        <f t="shared" si="0"/>
        <v>44527</v>
      </c>
      <c r="D34" s="20" t="str">
        <f t="shared" si="1"/>
        <v>休日</v>
      </c>
      <c r="E34" s="46"/>
      <c r="F34" s="47"/>
      <c r="G34" s="21" t="str">
        <f t="shared" si="3"/>
        <v/>
      </c>
      <c r="H34" s="22" t="str">
        <f t="shared" si="4"/>
        <v/>
      </c>
      <c r="I34" s="213"/>
      <c r="J34" s="214"/>
      <c r="K34" s="214"/>
      <c r="L34" s="214"/>
      <c r="M34" s="214"/>
      <c r="N34" s="214"/>
      <c r="O34" s="215"/>
      <c r="P34" s="65"/>
      <c r="Q34" s="48"/>
    </row>
    <row r="35" spans="1:22" ht="30" customHeight="1" x14ac:dyDescent="0.2">
      <c r="A35" s="25"/>
      <c r="B35" s="18">
        <f t="shared" si="2"/>
        <v>44528</v>
      </c>
      <c r="C35" s="19">
        <f t="shared" si="0"/>
        <v>44528</v>
      </c>
      <c r="D35" s="20" t="str">
        <f t="shared" si="1"/>
        <v>休日</v>
      </c>
      <c r="E35" s="46"/>
      <c r="F35" s="47"/>
      <c r="G35" s="21" t="str">
        <f t="shared" si="3"/>
        <v/>
      </c>
      <c r="H35" s="22" t="str">
        <f t="shared" si="4"/>
        <v/>
      </c>
      <c r="I35" s="213"/>
      <c r="J35" s="214"/>
      <c r="K35" s="214"/>
      <c r="L35" s="214"/>
      <c r="M35" s="214"/>
      <c r="N35" s="214"/>
      <c r="O35" s="215"/>
      <c r="P35" s="65"/>
      <c r="Q35" s="48"/>
    </row>
    <row r="36" spans="1:22" ht="30" customHeight="1" x14ac:dyDescent="0.2">
      <c r="A36" s="25"/>
      <c r="B36" s="18">
        <f>IF(DAY(B35+1) &lt; 5,"",B35+1)</f>
        <v>44529</v>
      </c>
      <c r="C36" s="19">
        <f t="shared" si="0"/>
        <v>44529</v>
      </c>
      <c r="D36" s="20" t="str">
        <f>IF(B36="","",IF(Q36="勤務","勤務",IF(OR(WEEKDAY(B36)=1,WEEKDAY(B36)=7,C36="日",Q36="祝日",Q36="特休",Q36="代休",Q36="休み"),"休日",IF(C36="","","勤務"))))</f>
        <v>勤務</v>
      </c>
      <c r="E36" s="46"/>
      <c r="F36" s="47"/>
      <c r="G36" s="21" t="str">
        <f t="shared" si="3"/>
        <v/>
      </c>
      <c r="H36" s="22" t="str">
        <f t="shared" si="4"/>
        <v/>
      </c>
      <c r="I36" s="213"/>
      <c r="J36" s="214"/>
      <c r="K36" s="214"/>
      <c r="L36" s="214"/>
      <c r="M36" s="214"/>
      <c r="N36" s="214"/>
      <c r="O36" s="215"/>
      <c r="P36" s="65"/>
      <c r="Q36" s="48"/>
    </row>
    <row r="37" spans="1:22" ht="30" customHeight="1" x14ac:dyDescent="0.2">
      <c r="A37" s="25"/>
      <c r="B37" s="18">
        <f>IF(B36="","",IF(DAY(B36+1) &lt; 5,"",B36+1))</f>
        <v>44530</v>
      </c>
      <c r="C37" s="19">
        <f t="shared" si="0"/>
        <v>44530</v>
      </c>
      <c r="D37" s="20" t="str">
        <f>IF(B37="","",IF(Q37="勤務","勤務",IF(OR(WEEKDAY(B37)=1,WEEKDAY(B37)=7,C37="日",Q37="祝日",Q37="特休",Q37="代休",Q37="休み"),"休日",IF(C37="","","勤務"))))</f>
        <v>勤務</v>
      </c>
      <c r="E37" s="46"/>
      <c r="F37" s="47"/>
      <c r="G37" s="21" t="str">
        <f t="shared" si="3"/>
        <v/>
      </c>
      <c r="H37" s="22" t="str">
        <f t="shared" si="4"/>
        <v/>
      </c>
      <c r="I37" s="213"/>
      <c r="J37" s="214"/>
      <c r="K37" s="214"/>
      <c r="L37" s="214"/>
      <c r="M37" s="214"/>
      <c r="N37" s="214"/>
      <c r="O37" s="215"/>
      <c r="P37" s="65"/>
      <c r="Q37" s="48"/>
    </row>
    <row r="38" spans="1:22" ht="30" customHeight="1" thickBot="1" x14ac:dyDescent="0.25">
      <c r="A38" s="25"/>
      <c r="B38" s="18" t="str">
        <f>IF(B37="","",IF(DAY(B37+1) &lt; 5,"",B37+1))</f>
        <v/>
      </c>
      <c r="C38" s="19" t="str">
        <f t="shared" si="0"/>
        <v/>
      </c>
      <c r="D38" s="29" t="str">
        <f>IF(B38="","",IF(Q38="勤務","勤務",IF(OR(WEEKDAY(B38)=1,WEEKDAY(B38)=7,C38="日",Q38="祝日",Q38="特休",Q38="代休",Q38="休み"),"休日",IF(C38="","","勤務"))))</f>
        <v/>
      </c>
      <c r="E38" s="46"/>
      <c r="F38" s="47"/>
      <c r="G38" s="21" t="str">
        <f t="shared" si="3"/>
        <v/>
      </c>
      <c r="H38" s="22" t="str">
        <f t="shared" si="4"/>
        <v/>
      </c>
      <c r="I38" s="213"/>
      <c r="J38" s="214"/>
      <c r="K38" s="214"/>
      <c r="L38" s="214"/>
      <c r="M38" s="214"/>
      <c r="N38" s="214"/>
      <c r="O38" s="215"/>
      <c r="P38" s="66"/>
      <c r="Q38" s="48"/>
    </row>
    <row r="39" spans="1:22" ht="22.5" customHeight="1" x14ac:dyDescent="0.2">
      <c r="A39" s="30"/>
      <c r="B39" s="43" t="s">
        <v>21</v>
      </c>
      <c r="C39" s="31"/>
      <c r="D39" s="50"/>
      <c r="E39" s="50"/>
      <c r="F39" s="50"/>
      <c r="G39" s="51"/>
      <c r="H39" s="52"/>
      <c r="I39" s="52"/>
      <c r="J39" s="53"/>
      <c r="K39" s="53"/>
      <c r="L39" s="53"/>
      <c r="M39" s="53"/>
      <c r="N39" s="53"/>
      <c r="O39" s="53"/>
      <c r="P39" s="54"/>
      <c r="Q39" s="16"/>
    </row>
    <row r="40" spans="1:22" ht="22.5" customHeight="1" thickBot="1" x14ac:dyDescent="0.25">
      <c r="A40" s="32"/>
      <c r="B40" s="33"/>
      <c r="C40" s="33"/>
      <c r="D40" s="55"/>
      <c r="E40" s="56"/>
      <c r="F40" s="55"/>
      <c r="G40" s="57"/>
      <c r="H40" s="58"/>
      <c r="I40" s="59"/>
      <c r="J40" s="60"/>
      <c r="K40" s="60"/>
      <c r="L40" s="60"/>
      <c r="M40" s="60"/>
      <c r="N40" s="60"/>
      <c r="O40" s="60"/>
      <c r="P40" s="61"/>
      <c r="Q40" s="16"/>
    </row>
    <row r="41" spans="1:22" ht="22.05" customHeight="1" x14ac:dyDescent="0.2">
      <c r="D41" s="5"/>
      <c r="E41" s="5"/>
      <c r="F41" s="5"/>
      <c r="G41" s="34"/>
      <c r="H41" s="35"/>
      <c r="I41" s="35"/>
      <c r="Q41" s="16"/>
    </row>
    <row r="46" spans="1:22" x14ac:dyDescent="0.2">
      <c r="R46" s="36"/>
      <c r="S46" s="36"/>
      <c r="T46" s="36"/>
      <c r="U46" s="36"/>
      <c r="V46" s="36"/>
    </row>
    <row r="47" spans="1:22" x14ac:dyDescent="0.2">
      <c r="H47" s="37"/>
      <c r="I47" s="37"/>
      <c r="R47" s="36"/>
      <c r="S47" s="36"/>
      <c r="T47" s="36"/>
      <c r="U47" s="36"/>
      <c r="V47" s="36"/>
    </row>
    <row r="48" spans="1:22" x14ac:dyDescent="0.2">
      <c r="H48" s="37"/>
      <c r="I48" s="37"/>
      <c r="R48" s="36"/>
      <c r="S48" s="36"/>
      <c r="T48" s="36"/>
      <c r="U48" s="36"/>
      <c r="V48" s="36"/>
    </row>
    <row r="49" spans="18:22" x14ac:dyDescent="0.2">
      <c r="R49" s="36"/>
      <c r="S49" s="36"/>
      <c r="T49" s="36"/>
      <c r="U49" s="36"/>
      <c r="V49" s="36"/>
    </row>
  </sheetData>
  <sheetProtection sheet="1" objects="1" scenarios="1"/>
  <protectedRanges>
    <protectedRange sqref="F8:F38" name="範囲1_1"/>
    <protectedRange sqref="J8:P38" name="範囲2_1_2"/>
  </protectedRanges>
  <mergeCells count="44">
    <mergeCell ref="I7:O7"/>
    <mergeCell ref="N1:P1"/>
    <mergeCell ref="G2:I2"/>
    <mergeCell ref="K2:L2"/>
    <mergeCell ref="M2:N2"/>
    <mergeCell ref="O2:P2"/>
    <mergeCell ref="E3:G3"/>
    <mergeCell ref="H3:I3"/>
    <mergeCell ref="D4:G4"/>
    <mergeCell ref="D5:G5"/>
    <mergeCell ref="K5:L5"/>
    <mergeCell ref="M5:N5"/>
    <mergeCell ref="O5:P5"/>
    <mergeCell ref="I19:O19"/>
    <mergeCell ref="I8:O8"/>
    <mergeCell ref="I9:O9"/>
    <mergeCell ref="I10:O10"/>
    <mergeCell ref="I11:O11"/>
    <mergeCell ref="I12:O12"/>
    <mergeCell ref="I13:O13"/>
    <mergeCell ref="I14:O14"/>
    <mergeCell ref="I15:O15"/>
    <mergeCell ref="I16:O16"/>
    <mergeCell ref="I17:O17"/>
    <mergeCell ref="I18:O18"/>
    <mergeCell ref="I31:O31"/>
    <mergeCell ref="I20:O20"/>
    <mergeCell ref="I21:O21"/>
    <mergeCell ref="I22:O22"/>
    <mergeCell ref="I23:O23"/>
    <mergeCell ref="I24:O24"/>
    <mergeCell ref="I25:O25"/>
    <mergeCell ref="I26:O26"/>
    <mergeCell ref="I27:O27"/>
    <mergeCell ref="I28:O28"/>
    <mergeCell ref="I29:O29"/>
    <mergeCell ref="I30:O30"/>
    <mergeCell ref="I38:O38"/>
    <mergeCell ref="I32:O32"/>
    <mergeCell ref="I33:O33"/>
    <mergeCell ref="I34:O34"/>
    <mergeCell ref="I35:O35"/>
    <mergeCell ref="I36:O36"/>
    <mergeCell ref="I37:O37"/>
  </mergeCells>
  <phoneticPr fontId="4"/>
  <conditionalFormatting sqref="B8:P38">
    <cfRule type="expression" dxfId="2" priority="1" stopIfTrue="1">
      <formula>OR($D8="休日")</formula>
    </cfRule>
  </conditionalFormatting>
  <conditionalFormatting sqref="C8:D38">
    <cfRule type="expression" dxfId="1" priority="171" stopIfTrue="1">
      <formula>OR($D8="休日")</formula>
    </cfRule>
  </conditionalFormatting>
  <conditionalFormatting sqref="D8:D38">
    <cfRule type="cellIs" dxfId="0" priority="172" stopIfTrue="1" operator="equal">
      <formula>"勤務"</formula>
    </cfRule>
  </conditionalFormatting>
  <pageMargins left="0.78740157480314965" right="0.19685039370078741" top="0.35433070866141736" bottom="0.35433070866141736" header="0.19685039370078741" footer="0.11811023622047245"/>
  <pageSetup paperSize="9" scale="63" orientation="portrait" r:id="rId1"/>
  <headerFooter alignWithMargins="0">
    <oddFooter>&amp;R株式会社　ゼクシス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5"/>
  <sheetViews>
    <sheetView zoomScale="145" zoomScaleNormal="145" workbookViewId="0">
      <selection activeCell="C3" sqref="C3"/>
    </sheetView>
  </sheetViews>
  <sheetFormatPr defaultColWidth="8.77734375" defaultRowHeight="13.2" x14ac:dyDescent="0.2"/>
  <cols>
    <col min="2" max="2" width="10.77734375" customWidth="1"/>
    <col min="5" max="6" width="21.6640625" bestFit="1" customWidth="1"/>
    <col min="7" max="7" width="3.44140625" bestFit="1" customWidth="1"/>
    <col min="8" max="9" width="5.109375" customWidth="1"/>
    <col min="10" max="11" width="10.33203125" customWidth="1"/>
  </cols>
  <sheetData>
    <row r="1" spans="1:7" x14ac:dyDescent="0.2">
      <c r="A1" s="229" t="s">
        <v>30</v>
      </c>
      <c r="B1" s="67" t="s">
        <v>4</v>
      </c>
      <c r="C1" s="68">
        <v>0.375</v>
      </c>
      <c r="E1" t="s">
        <v>32</v>
      </c>
      <c r="F1" t="s">
        <v>33</v>
      </c>
      <c r="G1" t="s">
        <v>53</v>
      </c>
    </row>
    <row r="2" spans="1:7" x14ac:dyDescent="0.2">
      <c r="A2" s="230"/>
      <c r="B2" s="67" t="s">
        <v>5</v>
      </c>
      <c r="C2" s="68">
        <v>0.73958333333333337</v>
      </c>
      <c r="E2" s="69">
        <v>45124</v>
      </c>
      <c r="F2" t="s">
        <v>37</v>
      </c>
      <c r="G2" s="71">
        <f>IF(E2&lt;&gt;"",E2,"")</f>
        <v>45124</v>
      </c>
    </row>
    <row r="3" spans="1:7" x14ac:dyDescent="0.2">
      <c r="A3" s="229" t="s">
        <v>31</v>
      </c>
      <c r="B3" s="67" t="s">
        <v>4</v>
      </c>
      <c r="C3" s="68">
        <v>0.5</v>
      </c>
      <c r="E3" s="69">
        <v>45149</v>
      </c>
      <c r="F3" t="s">
        <v>38</v>
      </c>
      <c r="G3" s="71">
        <f t="shared" ref="G3:G25" si="0">IF(E3&lt;&gt;"",E3,"")</f>
        <v>45149</v>
      </c>
    </row>
    <row r="4" spans="1:7" x14ac:dyDescent="0.2">
      <c r="A4" s="230"/>
      <c r="B4" s="67" t="s">
        <v>5</v>
      </c>
      <c r="C4" s="68">
        <v>0.53125</v>
      </c>
      <c r="E4" s="69">
        <v>45152</v>
      </c>
      <c r="F4" t="s">
        <v>39</v>
      </c>
      <c r="G4" s="71">
        <f t="shared" si="0"/>
        <v>45152</v>
      </c>
    </row>
    <row r="5" spans="1:7" x14ac:dyDescent="0.2">
      <c r="A5" s="231" t="s">
        <v>90</v>
      </c>
      <c r="B5" s="84">
        <v>0</v>
      </c>
      <c r="C5" s="68">
        <v>0.25</v>
      </c>
      <c r="D5" t="s">
        <v>91</v>
      </c>
      <c r="E5" s="69">
        <v>45153</v>
      </c>
      <c r="F5" t="s">
        <v>40</v>
      </c>
      <c r="G5" s="71">
        <f t="shared" ref="G5:G22" si="1">IF(E5&lt;&gt;"",E5,"")</f>
        <v>45153</v>
      </c>
    </row>
    <row r="6" spans="1:7" x14ac:dyDescent="0.2">
      <c r="A6" s="232"/>
      <c r="B6" s="83">
        <v>3.125E-2</v>
      </c>
      <c r="C6" s="68">
        <v>0.25</v>
      </c>
      <c r="D6" t="s">
        <v>92</v>
      </c>
      <c r="E6" s="69">
        <v>45154</v>
      </c>
      <c r="F6" t="s">
        <v>40</v>
      </c>
      <c r="G6" s="71">
        <f t="shared" si="1"/>
        <v>45154</v>
      </c>
    </row>
    <row r="7" spans="1:7" x14ac:dyDescent="0.2">
      <c r="A7" s="233"/>
      <c r="B7" s="83">
        <v>4.1666666666666664E-2</v>
      </c>
      <c r="C7" s="68">
        <v>0.33333333333333331</v>
      </c>
      <c r="D7" t="s">
        <v>92</v>
      </c>
      <c r="E7" s="69">
        <v>45187</v>
      </c>
      <c r="F7" t="s">
        <v>41</v>
      </c>
      <c r="G7" s="71">
        <f t="shared" si="1"/>
        <v>45187</v>
      </c>
    </row>
    <row r="8" spans="1:7" x14ac:dyDescent="0.2">
      <c r="E8" s="69">
        <v>45192</v>
      </c>
      <c r="F8" t="s">
        <v>42</v>
      </c>
      <c r="G8" s="71">
        <f t="shared" si="1"/>
        <v>45192</v>
      </c>
    </row>
    <row r="9" spans="1:7" x14ac:dyDescent="0.2">
      <c r="E9" s="69">
        <v>45208</v>
      </c>
      <c r="F9" t="s">
        <v>43</v>
      </c>
      <c r="G9" s="71">
        <f t="shared" si="1"/>
        <v>45208</v>
      </c>
    </row>
    <row r="10" spans="1:7" x14ac:dyDescent="0.2">
      <c r="E10" s="69">
        <v>45233</v>
      </c>
      <c r="F10" t="s">
        <v>44</v>
      </c>
      <c r="G10" s="71">
        <f t="shared" si="1"/>
        <v>45233</v>
      </c>
    </row>
    <row r="11" spans="1:7" x14ac:dyDescent="0.2">
      <c r="E11" s="69">
        <v>45253</v>
      </c>
      <c r="F11" t="s">
        <v>45</v>
      </c>
      <c r="G11" s="71">
        <f t="shared" si="1"/>
        <v>45253</v>
      </c>
    </row>
    <row r="12" spans="1:7" x14ac:dyDescent="0.2">
      <c r="E12" s="69">
        <v>45288</v>
      </c>
      <c r="F12" t="s">
        <v>46</v>
      </c>
      <c r="G12" s="71">
        <f t="shared" si="1"/>
        <v>45288</v>
      </c>
    </row>
    <row r="13" spans="1:7" x14ac:dyDescent="0.2">
      <c r="E13" s="69">
        <v>45289</v>
      </c>
      <c r="F13" t="s">
        <v>47</v>
      </c>
      <c r="G13" s="71">
        <f t="shared" si="1"/>
        <v>45289</v>
      </c>
    </row>
    <row r="14" spans="1:7" x14ac:dyDescent="0.2">
      <c r="E14" s="69">
        <v>45292</v>
      </c>
      <c r="F14" t="s">
        <v>48</v>
      </c>
      <c r="G14" s="71">
        <f t="shared" si="1"/>
        <v>45292</v>
      </c>
    </row>
    <row r="15" spans="1:7" x14ac:dyDescent="0.2">
      <c r="E15" s="69">
        <v>45293</v>
      </c>
      <c r="F15" t="s">
        <v>54</v>
      </c>
      <c r="G15" s="71">
        <f t="shared" si="1"/>
        <v>45293</v>
      </c>
    </row>
    <row r="16" spans="1:7" x14ac:dyDescent="0.2">
      <c r="E16" s="69">
        <v>45294</v>
      </c>
      <c r="F16" t="s">
        <v>54</v>
      </c>
      <c r="G16" s="71">
        <f t="shared" si="1"/>
        <v>45294</v>
      </c>
    </row>
    <row r="17" spans="5:7" x14ac:dyDescent="0.2">
      <c r="E17" s="69">
        <v>45295</v>
      </c>
      <c r="F17" t="s">
        <v>54</v>
      </c>
      <c r="G17" s="71">
        <f t="shared" si="1"/>
        <v>45295</v>
      </c>
    </row>
    <row r="18" spans="5:7" x14ac:dyDescent="0.2">
      <c r="E18" s="69">
        <v>45299</v>
      </c>
      <c r="F18" t="s">
        <v>49</v>
      </c>
      <c r="G18" s="71">
        <f t="shared" si="1"/>
        <v>45299</v>
      </c>
    </row>
    <row r="19" spans="5:7" x14ac:dyDescent="0.2">
      <c r="E19" s="69">
        <v>45333</v>
      </c>
      <c r="F19" t="s">
        <v>50</v>
      </c>
      <c r="G19" s="71">
        <f t="shared" si="1"/>
        <v>45333</v>
      </c>
    </row>
    <row r="20" spans="5:7" x14ac:dyDescent="0.2">
      <c r="E20" s="69">
        <v>45334</v>
      </c>
      <c r="F20" t="s">
        <v>55</v>
      </c>
      <c r="G20" s="71">
        <f t="shared" si="1"/>
        <v>45334</v>
      </c>
    </row>
    <row r="21" spans="5:7" x14ac:dyDescent="0.2">
      <c r="E21" s="69">
        <v>45345</v>
      </c>
      <c r="F21" t="s">
        <v>51</v>
      </c>
      <c r="G21" s="71">
        <f t="shared" si="1"/>
        <v>45345</v>
      </c>
    </row>
    <row r="22" spans="5:7" x14ac:dyDescent="0.2">
      <c r="E22" s="69">
        <v>45371</v>
      </c>
      <c r="F22" t="s">
        <v>52</v>
      </c>
      <c r="G22" s="71">
        <f t="shared" si="1"/>
        <v>45371</v>
      </c>
    </row>
    <row r="24" spans="5:7" x14ac:dyDescent="0.2">
      <c r="E24" s="69"/>
      <c r="G24" s="71" t="str">
        <f t="shared" si="0"/>
        <v/>
      </c>
    </row>
    <row r="25" spans="5:7" x14ac:dyDescent="0.2">
      <c r="E25" s="69"/>
      <c r="G25" s="71" t="str">
        <f t="shared" si="0"/>
        <v/>
      </c>
    </row>
  </sheetData>
  <mergeCells count="3">
    <mergeCell ref="A1:A2"/>
    <mergeCell ref="A3:A4"/>
    <mergeCell ref="A5:A7"/>
  </mergeCells>
  <phoneticPr fontId="4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Sheet3.GetCsvData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1</xdr:col>
                    <xdr:colOff>243840</xdr:colOff>
                    <xdr:row>8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202310</vt:lpstr>
      <vt:lpstr>202310_記入要領</vt:lpstr>
      <vt:lpstr>202111_記入要領</vt:lpstr>
      <vt:lpstr>マスタ</vt:lpstr>
      <vt:lpstr>'202111_記入要領'!Print_Area</vt:lpstr>
      <vt:lpstr>'202310'!Print_Area</vt:lpstr>
      <vt:lpstr>'202310_記入要領'!Print_Area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全社標準PC</dc:creator>
  <cp:lastModifiedBy>白井 穂乃香</cp:lastModifiedBy>
  <cp:lastPrinted>2023-10-20T03:56:30Z</cp:lastPrinted>
  <dcterms:created xsi:type="dcterms:W3CDTF">2021-11-15T08:30:33Z</dcterms:created>
  <dcterms:modified xsi:type="dcterms:W3CDTF">2025-10-22T08:20:06Z</dcterms:modified>
</cp:coreProperties>
</file>